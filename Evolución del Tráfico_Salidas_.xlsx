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34669\Downloads\"/>
    </mc:Choice>
  </mc:AlternateContent>
  <xr:revisionPtr revIDLastSave="0" documentId="13_ncr:1_{A4DDA830-64C8-4414-82D9-9C3296055E1B}" xr6:coauthVersionLast="47" xr6:coauthVersionMax="47" xr10:uidLastSave="{00000000-0000-0000-0000-000000000000}"/>
  <bookViews>
    <workbookView xWindow="5772" yWindow="372" windowWidth="11712" windowHeight="12336" firstSheet="4" activeTab="7" xr2:uid="{00000000-000D-0000-FFFF-FFFF00000000}"/>
  </bookViews>
  <sheets>
    <sheet name="Comparativa mes año anterior" sheetId="1" r:id="rId1"/>
    <sheet name="Análisis tendencia" sheetId="3" r:id="rId2"/>
    <sheet name="Promedios" sheetId="4" r:id="rId3"/>
    <sheet name="Media móvil total" sheetId="5" r:id="rId4"/>
    <sheet name="PIB" sheetId="7" r:id="rId5"/>
    <sheet name="HP" sheetId="8" r:id="rId6"/>
    <sheet name="Tabla1" sheetId="9" r:id="rId7"/>
    <sheet name="Operaciones" sheetId="6" r:id="rId8"/>
  </sheets>
  <definedNames>
    <definedName name="DatosExternos_1" localSheetId="6" hidden="1">Tabla1!$A$1:$A$45</definedName>
  </definedNames>
  <calcPr calcId="191028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6" l="1"/>
  <c r="P10" i="6"/>
  <c r="N10" i="6"/>
  <c r="O9" i="6"/>
  <c r="P9" i="6"/>
  <c r="N9" i="6"/>
  <c r="K3" i="6"/>
  <c r="K4" i="6"/>
  <c r="K5" i="6"/>
  <c r="K6" i="6"/>
  <c r="K7" i="6"/>
  <c r="K8" i="6"/>
  <c r="K9" i="6"/>
  <c r="M2" i="6" s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2" i="6"/>
  <c r="I4" i="8"/>
  <c r="J4" i="8"/>
  <c r="M4" i="8" s="1"/>
  <c r="I5" i="8"/>
  <c r="L5" i="8" s="1"/>
  <c r="J5" i="8"/>
  <c r="I6" i="8"/>
  <c r="J6" i="8"/>
  <c r="I7" i="8"/>
  <c r="L7" i="8" s="1"/>
  <c r="J7" i="8"/>
  <c r="M7" i="8" s="1"/>
  <c r="I8" i="8"/>
  <c r="L8" i="8" s="1"/>
  <c r="J8" i="8"/>
  <c r="M8" i="8" s="1"/>
  <c r="I9" i="8"/>
  <c r="L9" i="8" s="1"/>
  <c r="J9" i="8"/>
  <c r="I10" i="8"/>
  <c r="J10" i="8"/>
  <c r="M10" i="8" s="1"/>
  <c r="I11" i="8"/>
  <c r="L11" i="8" s="1"/>
  <c r="J11" i="8"/>
  <c r="I12" i="8"/>
  <c r="J12" i="8"/>
  <c r="I13" i="8"/>
  <c r="L13" i="8" s="1"/>
  <c r="J13" i="8"/>
  <c r="M13" i="8" s="1"/>
  <c r="I14" i="8"/>
  <c r="L14" i="8" s="1"/>
  <c r="J14" i="8"/>
  <c r="M14" i="8" s="1"/>
  <c r="I15" i="8"/>
  <c r="L15" i="8" s="1"/>
  <c r="J15" i="8"/>
  <c r="H5" i="8"/>
  <c r="K5" i="8" s="1"/>
  <c r="H6" i="8"/>
  <c r="H7" i="8"/>
  <c r="H8" i="8"/>
  <c r="H9" i="8"/>
  <c r="H10" i="8"/>
  <c r="H11" i="8"/>
  <c r="H12" i="8"/>
  <c r="K12" i="8" s="1"/>
  <c r="H13" i="8"/>
  <c r="H14" i="8"/>
  <c r="K14" i="8" s="1"/>
  <c r="H15" i="8"/>
  <c r="K15" i="8" s="1"/>
  <c r="L4" i="8"/>
  <c r="M5" i="8"/>
  <c r="L6" i="8"/>
  <c r="M6" i="8"/>
  <c r="M9" i="8"/>
  <c r="L10" i="8"/>
  <c r="M11" i="8"/>
  <c r="L12" i="8"/>
  <c r="M12" i="8"/>
  <c r="M15" i="8"/>
  <c r="K6" i="8"/>
  <c r="K7" i="8"/>
  <c r="K8" i="8"/>
  <c r="K9" i="8"/>
  <c r="K10" i="8"/>
  <c r="K11" i="8"/>
  <c r="K13" i="8"/>
  <c r="K4" i="8"/>
  <c r="H4" i="8"/>
  <c r="K66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5" i="7"/>
  <c r="L2" i="7"/>
  <c r="R42" i="7" s="1"/>
  <c r="T42" i="7" s="1"/>
  <c r="G5" i="8"/>
  <c r="G6" i="8"/>
  <c r="G7" i="8"/>
  <c r="G8" i="8"/>
  <c r="G9" i="8"/>
  <c r="G10" i="8"/>
  <c r="G11" i="8"/>
  <c r="G12" i="8"/>
  <c r="G13" i="8"/>
  <c r="G14" i="8"/>
  <c r="G15" i="8"/>
  <c r="G4" i="8"/>
  <c r="F5" i="8"/>
  <c r="F6" i="8"/>
  <c r="F7" i="8"/>
  <c r="F8" i="8"/>
  <c r="F9" i="8"/>
  <c r="F10" i="8"/>
  <c r="F11" i="8"/>
  <c r="F12" i="8"/>
  <c r="F13" i="8"/>
  <c r="F14" i="8"/>
  <c r="F15" i="8"/>
  <c r="F4" i="8"/>
  <c r="E5" i="8"/>
  <c r="E6" i="8"/>
  <c r="E7" i="8"/>
  <c r="E8" i="8"/>
  <c r="E9" i="8"/>
  <c r="E10" i="8"/>
  <c r="E11" i="8"/>
  <c r="E12" i="8"/>
  <c r="E13" i="8"/>
  <c r="E14" i="8"/>
  <c r="E15" i="8"/>
  <c r="E4" i="8"/>
  <c r="T35" i="7"/>
  <c r="N38" i="7"/>
  <c r="N36" i="7"/>
  <c r="N35" i="7"/>
  <c r="N34" i="7"/>
  <c r="O32" i="7"/>
  <c r="O31" i="7"/>
  <c r="G3" i="7"/>
  <c r="J3" i="7"/>
  <c r="G4" i="7"/>
  <c r="J4" i="7"/>
  <c r="G5" i="7"/>
  <c r="J5" i="7"/>
  <c r="G6" i="7"/>
  <c r="J6" i="7"/>
  <c r="G7" i="7"/>
  <c r="J7" i="7"/>
  <c r="G8" i="7"/>
  <c r="J8" i="7"/>
  <c r="G9" i="7"/>
  <c r="J9" i="7"/>
  <c r="G10" i="7"/>
  <c r="J10" i="7"/>
  <c r="G11" i="7"/>
  <c r="J11" i="7"/>
  <c r="G12" i="7"/>
  <c r="J12" i="7"/>
  <c r="G13" i="7"/>
  <c r="J13" i="7"/>
  <c r="G14" i="7"/>
  <c r="J14" i="7"/>
  <c r="G15" i="7"/>
  <c r="J15" i="7"/>
  <c r="G16" i="7"/>
  <c r="J16" i="7"/>
  <c r="G17" i="7"/>
  <c r="J17" i="7"/>
  <c r="G18" i="7"/>
  <c r="J18" i="7"/>
  <c r="G19" i="7"/>
  <c r="J19" i="7"/>
  <c r="G20" i="7"/>
  <c r="J20" i="7"/>
  <c r="G21" i="7"/>
  <c r="J21" i="7"/>
  <c r="G22" i="7"/>
  <c r="J22" i="7"/>
  <c r="G23" i="7"/>
  <c r="J23" i="7"/>
  <c r="G24" i="7"/>
  <c r="J24" i="7"/>
  <c r="G25" i="7"/>
  <c r="J25" i="7"/>
  <c r="G26" i="7"/>
  <c r="J26" i="7"/>
  <c r="G27" i="7"/>
  <c r="J27" i="7"/>
  <c r="G28" i="7"/>
  <c r="J28" i="7"/>
  <c r="G29" i="7"/>
  <c r="J29" i="7"/>
  <c r="G30" i="7"/>
  <c r="J30" i="7"/>
  <c r="G31" i="7"/>
  <c r="J31" i="7"/>
  <c r="G32" i="7"/>
  <c r="J32" i="7"/>
  <c r="G33" i="7"/>
  <c r="J33" i="7"/>
  <c r="G34" i="7"/>
  <c r="J34" i="7"/>
  <c r="G35" i="7"/>
  <c r="J35" i="7"/>
  <c r="G36" i="7"/>
  <c r="J36" i="7"/>
  <c r="G37" i="7"/>
  <c r="J37" i="7"/>
  <c r="G38" i="7"/>
  <c r="J38" i="7"/>
  <c r="G39" i="7"/>
  <c r="J39" i="7"/>
  <c r="G40" i="7"/>
  <c r="J40" i="7"/>
  <c r="G41" i="7"/>
  <c r="J41" i="7"/>
  <c r="G42" i="7"/>
  <c r="J42" i="7"/>
  <c r="G43" i="7"/>
  <c r="J43" i="7"/>
  <c r="G44" i="7"/>
  <c r="J44" i="7"/>
  <c r="G45" i="7"/>
  <c r="J45" i="7"/>
  <c r="G46" i="7"/>
  <c r="J46" i="7"/>
  <c r="G47" i="7"/>
  <c r="J47" i="7"/>
  <c r="G48" i="7"/>
  <c r="J48" i="7"/>
  <c r="G49" i="7"/>
  <c r="J49" i="7"/>
  <c r="G50" i="7"/>
  <c r="J50" i="7"/>
  <c r="G51" i="7"/>
  <c r="J51" i="7"/>
  <c r="G52" i="7"/>
  <c r="J52" i="7"/>
  <c r="G53" i="7"/>
  <c r="J53" i="7"/>
  <c r="G54" i="7"/>
  <c r="J54" i="7"/>
  <c r="G55" i="7"/>
  <c r="J55" i="7"/>
  <c r="G56" i="7"/>
  <c r="J56" i="7"/>
  <c r="G57" i="7"/>
  <c r="J57" i="7"/>
  <c r="G58" i="7"/>
  <c r="J58" i="7"/>
  <c r="G59" i="7"/>
  <c r="J59" i="7"/>
  <c r="G60" i="7"/>
  <c r="J60" i="7"/>
  <c r="G61" i="7"/>
  <c r="J61" i="7"/>
  <c r="G62" i="7"/>
  <c r="J62" i="7"/>
  <c r="G63" i="7"/>
  <c r="J63" i="7"/>
  <c r="G64" i="7"/>
  <c r="J64" i="7"/>
  <c r="G65" i="7"/>
  <c r="J65" i="7"/>
  <c r="G66" i="7"/>
  <c r="J66" i="7"/>
  <c r="G67" i="7"/>
  <c r="J67" i="7"/>
  <c r="G68" i="7"/>
  <c r="J68" i="7"/>
  <c r="G69" i="7"/>
  <c r="J69" i="7"/>
  <c r="G70" i="7"/>
  <c r="J70" i="7"/>
  <c r="G71" i="7"/>
  <c r="J71" i="7"/>
  <c r="G72" i="7"/>
  <c r="J72" i="7"/>
  <c r="G73" i="7"/>
  <c r="J73" i="7"/>
  <c r="G74" i="7"/>
  <c r="J74" i="7"/>
  <c r="G75" i="7"/>
  <c r="J75" i="7"/>
  <c r="G76" i="7"/>
  <c r="J76" i="7"/>
  <c r="G77" i="7"/>
  <c r="J77" i="7"/>
  <c r="G78" i="7"/>
  <c r="J78" i="7"/>
  <c r="G79" i="7"/>
  <c r="J79" i="7"/>
  <c r="H2" i="7"/>
  <c r="I2" i="7"/>
  <c r="J2" i="7"/>
  <c r="G2" i="7"/>
  <c r="E2" i="7"/>
  <c r="D2" i="7"/>
  <c r="E4" i="7"/>
  <c r="I4" i="7" s="1"/>
  <c r="E5" i="7"/>
  <c r="I5" i="7" s="1"/>
  <c r="E6" i="7"/>
  <c r="I6" i="7" s="1"/>
  <c r="E7" i="7"/>
  <c r="I7" i="7" s="1"/>
  <c r="E8" i="7"/>
  <c r="I8" i="7" s="1"/>
  <c r="E9" i="7"/>
  <c r="I9" i="7" s="1"/>
  <c r="E10" i="7"/>
  <c r="I10" i="7" s="1"/>
  <c r="E11" i="7"/>
  <c r="I11" i="7" s="1"/>
  <c r="E12" i="7"/>
  <c r="I12" i="7" s="1"/>
  <c r="E13" i="7"/>
  <c r="I13" i="7" s="1"/>
  <c r="E14" i="7"/>
  <c r="I14" i="7" s="1"/>
  <c r="E15" i="7"/>
  <c r="I15" i="7" s="1"/>
  <c r="E16" i="7"/>
  <c r="I16" i="7" s="1"/>
  <c r="E17" i="7"/>
  <c r="I17" i="7" s="1"/>
  <c r="E18" i="7"/>
  <c r="I18" i="7" s="1"/>
  <c r="E19" i="7"/>
  <c r="I19" i="7" s="1"/>
  <c r="E20" i="7"/>
  <c r="I20" i="7" s="1"/>
  <c r="E21" i="7"/>
  <c r="I21" i="7" s="1"/>
  <c r="E22" i="7"/>
  <c r="I22" i="7" s="1"/>
  <c r="E23" i="7"/>
  <c r="I23" i="7" s="1"/>
  <c r="E24" i="7"/>
  <c r="I24" i="7" s="1"/>
  <c r="E25" i="7"/>
  <c r="I25" i="7" s="1"/>
  <c r="E26" i="7"/>
  <c r="I26" i="7" s="1"/>
  <c r="E27" i="7"/>
  <c r="I27" i="7" s="1"/>
  <c r="E28" i="7"/>
  <c r="I28" i="7" s="1"/>
  <c r="E29" i="7"/>
  <c r="I29" i="7" s="1"/>
  <c r="E30" i="7"/>
  <c r="I30" i="7" s="1"/>
  <c r="E31" i="7"/>
  <c r="I31" i="7" s="1"/>
  <c r="E32" i="7"/>
  <c r="I32" i="7" s="1"/>
  <c r="E33" i="7"/>
  <c r="I33" i="7" s="1"/>
  <c r="E34" i="7"/>
  <c r="I34" i="7" s="1"/>
  <c r="E35" i="7"/>
  <c r="I35" i="7" s="1"/>
  <c r="E36" i="7"/>
  <c r="I36" i="7" s="1"/>
  <c r="E37" i="7"/>
  <c r="I37" i="7" s="1"/>
  <c r="E38" i="7"/>
  <c r="I38" i="7" s="1"/>
  <c r="E39" i="7"/>
  <c r="I39" i="7" s="1"/>
  <c r="E40" i="7"/>
  <c r="I40" i="7" s="1"/>
  <c r="E41" i="7"/>
  <c r="I41" i="7" s="1"/>
  <c r="E42" i="7"/>
  <c r="I42" i="7" s="1"/>
  <c r="E43" i="7"/>
  <c r="I43" i="7" s="1"/>
  <c r="E44" i="7"/>
  <c r="I44" i="7" s="1"/>
  <c r="E45" i="7"/>
  <c r="I45" i="7" s="1"/>
  <c r="E46" i="7"/>
  <c r="I46" i="7" s="1"/>
  <c r="E47" i="7"/>
  <c r="I47" i="7" s="1"/>
  <c r="E48" i="7"/>
  <c r="I48" i="7" s="1"/>
  <c r="E49" i="7"/>
  <c r="I49" i="7" s="1"/>
  <c r="E50" i="7"/>
  <c r="I50" i="7" s="1"/>
  <c r="E51" i="7"/>
  <c r="I51" i="7" s="1"/>
  <c r="E52" i="7"/>
  <c r="I52" i="7" s="1"/>
  <c r="E53" i="7"/>
  <c r="I53" i="7" s="1"/>
  <c r="E54" i="7"/>
  <c r="I54" i="7" s="1"/>
  <c r="E55" i="7"/>
  <c r="I55" i="7" s="1"/>
  <c r="E56" i="7"/>
  <c r="I56" i="7" s="1"/>
  <c r="E57" i="7"/>
  <c r="I57" i="7" s="1"/>
  <c r="E58" i="7"/>
  <c r="I58" i="7" s="1"/>
  <c r="E59" i="7"/>
  <c r="I59" i="7" s="1"/>
  <c r="E60" i="7"/>
  <c r="I60" i="7" s="1"/>
  <c r="E61" i="7"/>
  <c r="I61" i="7" s="1"/>
  <c r="E62" i="7"/>
  <c r="I62" i="7" s="1"/>
  <c r="E63" i="7"/>
  <c r="I63" i="7" s="1"/>
  <c r="E64" i="7"/>
  <c r="I64" i="7" s="1"/>
  <c r="E65" i="7"/>
  <c r="I65" i="7" s="1"/>
  <c r="E66" i="7"/>
  <c r="I66" i="7" s="1"/>
  <c r="E67" i="7"/>
  <c r="I67" i="7" s="1"/>
  <c r="E68" i="7"/>
  <c r="I68" i="7" s="1"/>
  <c r="E69" i="7"/>
  <c r="I69" i="7" s="1"/>
  <c r="E70" i="7"/>
  <c r="I70" i="7" s="1"/>
  <c r="E71" i="7"/>
  <c r="I71" i="7" s="1"/>
  <c r="E72" i="7"/>
  <c r="I72" i="7" s="1"/>
  <c r="E73" i="7"/>
  <c r="I73" i="7" s="1"/>
  <c r="E74" i="7"/>
  <c r="I74" i="7" s="1"/>
  <c r="E75" i="7"/>
  <c r="I75" i="7" s="1"/>
  <c r="E76" i="7"/>
  <c r="I76" i="7" s="1"/>
  <c r="E77" i="7"/>
  <c r="I77" i="7" s="1"/>
  <c r="E78" i="7"/>
  <c r="I78" i="7" s="1"/>
  <c r="E79" i="7"/>
  <c r="I79" i="7" s="1"/>
  <c r="D4" i="7"/>
  <c r="H4" i="7" s="1"/>
  <c r="D5" i="7"/>
  <c r="H5" i="7" s="1"/>
  <c r="D6" i="7"/>
  <c r="H6" i="7" s="1"/>
  <c r="D7" i="7"/>
  <c r="H7" i="7" s="1"/>
  <c r="D8" i="7"/>
  <c r="H8" i="7" s="1"/>
  <c r="D9" i="7"/>
  <c r="H9" i="7" s="1"/>
  <c r="D10" i="7"/>
  <c r="H10" i="7" s="1"/>
  <c r="D11" i="7"/>
  <c r="H11" i="7" s="1"/>
  <c r="D12" i="7"/>
  <c r="H12" i="7" s="1"/>
  <c r="D13" i="7"/>
  <c r="H13" i="7" s="1"/>
  <c r="D14" i="7"/>
  <c r="H14" i="7" s="1"/>
  <c r="D15" i="7"/>
  <c r="H15" i="7" s="1"/>
  <c r="D16" i="7"/>
  <c r="H16" i="7" s="1"/>
  <c r="D17" i="7"/>
  <c r="H17" i="7" s="1"/>
  <c r="D18" i="7"/>
  <c r="H18" i="7" s="1"/>
  <c r="D19" i="7"/>
  <c r="H19" i="7" s="1"/>
  <c r="D20" i="7"/>
  <c r="H20" i="7" s="1"/>
  <c r="D21" i="7"/>
  <c r="H21" i="7" s="1"/>
  <c r="D22" i="7"/>
  <c r="H22" i="7" s="1"/>
  <c r="D23" i="7"/>
  <c r="H23" i="7" s="1"/>
  <c r="D24" i="7"/>
  <c r="H24" i="7" s="1"/>
  <c r="D25" i="7"/>
  <c r="H25" i="7" s="1"/>
  <c r="D26" i="7"/>
  <c r="H26" i="7" s="1"/>
  <c r="D27" i="7"/>
  <c r="H27" i="7" s="1"/>
  <c r="D28" i="7"/>
  <c r="H28" i="7" s="1"/>
  <c r="D29" i="7"/>
  <c r="H29" i="7" s="1"/>
  <c r="D30" i="7"/>
  <c r="H30" i="7" s="1"/>
  <c r="D31" i="7"/>
  <c r="H31" i="7" s="1"/>
  <c r="D32" i="7"/>
  <c r="H32" i="7" s="1"/>
  <c r="D33" i="7"/>
  <c r="H33" i="7" s="1"/>
  <c r="D34" i="7"/>
  <c r="H34" i="7" s="1"/>
  <c r="D35" i="7"/>
  <c r="H35" i="7" s="1"/>
  <c r="D36" i="7"/>
  <c r="H36" i="7" s="1"/>
  <c r="D37" i="7"/>
  <c r="H37" i="7" s="1"/>
  <c r="D38" i="7"/>
  <c r="H38" i="7" s="1"/>
  <c r="D39" i="7"/>
  <c r="H39" i="7" s="1"/>
  <c r="D40" i="7"/>
  <c r="H40" i="7" s="1"/>
  <c r="D41" i="7"/>
  <c r="H41" i="7" s="1"/>
  <c r="D42" i="7"/>
  <c r="H42" i="7" s="1"/>
  <c r="D43" i="7"/>
  <c r="H43" i="7" s="1"/>
  <c r="D44" i="7"/>
  <c r="H44" i="7" s="1"/>
  <c r="D45" i="7"/>
  <c r="H45" i="7" s="1"/>
  <c r="D46" i="7"/>
  <c r="H46" i="7" s="1"/>
  <c r="D47" i="7"/>
  <c r="H47" i="7" s="1"/>
  <c r="D48" i="7"/>
  <c r="H48" i="7" s="1"/>
  <c r="D49" i="7"/>
  <c r="H49" i="7" s="1"/>
  <c r="D50" i="7"/>
  <c r="H50" i="7" s="1"/>
  <c r="D51" i="7"/>
  <c r="H51" i="7" s="1"/>
  <c r="D52" i="7"/>
  <c r="H52" i="7" s="1"/>
  <c r="D53" i="7"/>
  <c r="H53" i="7" s="1"/>
  <c r="D54" i="7"/>
  <c r="H54" i="7" s="1"/>
  <c r="D55" i="7"/>
  <c r="H55" i="7" s="1"/>
  <c r="D56" i="7"/>
  <c r="H56" i="7" s="1"/>
  <c r="D57" i="7"/>
  <c r="H57" i="7" s="1"/>
  <c r="D58" i="7"/>
  <c r="H58" i="7" s="1"/>
  <c r="D59" i="7"/>
  <c r="H59" i="7" s="1"/>
  <c r="D60" i="7"/>
  <c r="H60" i="7" s="1"/>
  <c r="D61" i="7"/>
  <c r="H61" i="7" s="1"/>
  <c r="D62" i="7"/>
  <c r="H62" i="7" s="1"/>
  <c r="D63" i="7"/>
  <c r="H63" i="7" s="1"/>
  <c r="D64" i="7"/>
  <c r="H64" i="7" s="1"/>
  <c r="D65" i="7"/>
  <c r="H65" i="7" s="1"/>
  <c r="D66" i="7"/>
  <c r="H66" i="7" s="1"/>
  <c r="D67" i="7"/>
  <c r="H67" i="7" s="1"/>
  <c r="D68" i="7"/>
  <c r="H68" i="7" s="1"/>
  <c r="D69" i="7"/>
  <c r="H69" i="7" s="1"/>
  <c r="D70" i="7"/>
  <c r="H70" i="7" s="1"/>
  <c r="D71" i="7"/>
  <c r="H71" i="7" s="1"/>
  <c r="D72" i="7"/>
  <c r="H72" i="7" s="1"/>
  <c r="D73" i="7"/>
  <c r="H73" i="7" s="1"/>
  <c r="D74" i="7"/>
  <c r="H74" i="7" s="1"/>
  <c r="D75" i="7"/>
  <c r="H75" i="7" s="1"/>
  <c r="D76" i="7"/>
  <c r="H76" i="7" s="1"/>
  <c r="D77" i="7"/>
  <c r="H77" i="7" s="1"/>
  <c r="D78" i="7"/>
  <c r="H78" i="7" s="1"/>
  <c r="D79" i="7"/>
  <c r="H79" i="7" s="1"/>
  <c r="E3" i="7"/>
  <c r="I3" i="7" s="1"/>
  <c r="D3" i="7"/>
  <c r="H3" i="7" s="1"/>
  <c r="C18" i="4"/>
  <c r="D18" i="4"/>
  <c r="B18" i="4"/>
  <c r="N11" i="3"/>
  <c r="O11" i="3"/>
  <c r="N12" i="3"/>
  <c r="O12" i="3"/>
  <c r="N13" i="3"/>
  <c r="O13" i="3"/>
  <c r="N14" i="3"/>
  <c r="O14" i="3"/>
  <c r="N15" i="3"/>
  <c r="O15" i="3"/>
  <c r="N16" i="3"/>
  <c r="O16" i="3"/>
  <c r="N17" i="3"/>
  <c r="O17" i="3"/>
  <c r="N18" i="3"/>
  <c r="O18" i="3"/>
  <c r="N19" i="3"/>
  <c r="O19" i="3"/>
  <c r="N20" i="3"/>
  <c r="O20" i="3"/>
  <c r="N21" i="3"/>
  <c r="O21" i="3"/>
  <c r="N22" i="3"/>
  <c r="O22" i="3"/>
  <c r="N23" i="3"/>
  <c r="O23" i="3"/>
  <c r="N24" i="3"/>
  <c r="O24" i="3"/>
  <c r="N25" i="3"/>
  <c r="O25" i="3"/>
  <c r="N26" i="3"/>
  <c r="O26" i="3"/>
  <c r="N27" i="3"/>
  <c r="O27" i="3"/>
  <c r="N28" i="3"/>
  <c r="O28" i="3"/>
  <c r="N29" i="3"/>
  <c r="O29" i="3"/>
  <c r="N30" i="3"/>
  <c r="O30" i="3"/>
  <c r="N31" i="3"/>
  <c r="O31" i="3"/>
  <c r="N32" i="3"/>
  <c r="O32" i="3"/>
  <c r="N33" i="3"/>
  <c r="O33" i="3"/>
  <c r="N34" i="3"/>
  <c r="O34" i="3"/>
  <c r="N35" i="3"/>
  <c r="O35" i="3"/>
  <c r="N36" i="3"/>
  <c r="O36" i="3"/>
  <c r="N37" i="3"/>
  <c r="O37" i="3"/>
  <c r="N38" i="3"/>
  <c r="O38" i="3"/>
  <c r="N39" i="3"/>
  <c r="O39" i="3"/>
  <c r="N40" i="3"/>
  <c r="O40" i="3"/>
  <c r="N41" i="3"/>
  <c r="O41" i="3"/>
  <c r="N42" i="3"/>
  <c r="O42" i="3"/>
  <c r="N43" i="3"/>
  <c r="O43" i="3"/>
  <c r="N44" i="3"/>
  <c r="O44" i="3"/>
  <c r="N45" i="3"/>
  <c r="O45" i="3"/>
  <c r="N46" i="3"/>
  <c r="O46" i="3"/>
  <c r="N47" i="3"/>
  <c r="O47" i="3"/>
  <c r="N48" i="3"/>
  <c r="O48" i="3"/>
  <c r="N49" i="3"/>
  <c r="O49" i="3"/>
  <c r="N50" i="3"/>
  <c r="O50" i="3"/>
  <c r="N51" i="3"/>
  <c r="O51" i="3"/>
  <c r="N52" i="3"/>
  <c r="O52" i="3"/>
  <c r="N53" i="3"/>
  <c r="O53" i="3"/>
  <c r="N54" i="3"/>
  <c r="O54" i="3"/>
  <c r="N55" i="3"/>
  <c r="O55" i="3"/>
  <c r="N56" i="3"/>
  <c r="O56" i="3"/>
  <c r="N57" i="3"/>
  <c r="O57" i="3"/>
  <c r="N58" i="3"/>
  <c r="O58" i="3"/>
  <c r="N59" i="3"/>
  <c r="O59" i="3"/>
  <c r="N60" i="3"/>
  <c r="O60" i="3"/>
  <c r="N61" i="3"/>
  <c r="O61" i="3"/>
  <c r="N62" i="3"/>
  <c r="O62" i="3"/>
  <c r="N63" i="3"/>
  <c r="O63" i="3"/>
  <c r="N64" i="3"/>
  <c r="O64" i="3"/>
  <c r="N65" i="3"/>
  <c r="O65" i="3"/>
  <c r="N66" i="3"/>
  <c r="O66" i="3"/>
  <c r="N67" i="3"/>
  <c r="O67" i="3"/>
  <c r="N68" i="3"/>
  <c r="O68" i="3"/>
  <c r="N69" i="3"/>
  <c r="O69" i="3"/>
  <c r="N70" i="3"/>
  <c r="O70" i="3"/>
  <c r="N71" i="3"/>
  <c r="O71" i="3"/>
  <c r="N72" i="3"/>
  <c r="O72" i="3"/>
  <c r="N73" i="3"/>
  <c r="O73" i="3"/>
  <c r="N74" i="3"/>
  <c r="O74" i="3"/>
  <c r="N75" i="3"/>
  <c r="O75" i="3"/>
  <c r="N76" i="3"/>
  <c r="O76" i="3"/>
  <c r="N77" i="3"/>
  <c r="O77" i="3"/>
  <c r="N78" i="3"/>
  <c r="O78" i="3"/>
  <c r="N79" i="3"/>
  <c r="O79" i="3"/>
  <c r="N80" i="3"/>
  <c r="O80" i="3"/>
  <c r="N81" i="3"/>
  <c r="O81" i="3"/>
  <c r="N82" i="3"/>
  <c r="O82" i="3"/>
  <c r="N83" i="3"/>
  <c r="O83" i="3"/>
  <c r="N84" i="3"/>
  <c r="O84" i="3"/>
  <c r="N85" i="3"/>
  <c r="O85" i="3"/>
  <c r="N86" i="3"/>
  <c r="O86" i="3"/>
  <c r="N87" i="3"/>
  <c r="O87" i="3"/>
  <c r="N88" i="3"/>
  <c r="O88" i="3"/>
  <c r="N89" i="3"/>
  <c r="O89" i="3"/>
  <c r="N90" i="3"/>
  <c r="O90" i="3"/>
  <c r="N91" i="3"/>
  <c r="O91" i="3"/>
  <c r="N92" i="3"/>
  <c r="O92" i="3"/>
  <c r="N93" i="3"/>
  <c r="O93" i="3"/>
  <c r="N94" i="3"/>
  <c r="O94" i="3"/>
  <c r="N95" i="3"/>
  <c r="O95" i="3"/>
  <c r="N96" i="3"/>
  <c r="O96" i="3"/>
  <c r="N97" i="3"/>
  <c r="O97" i="3"/>
  <c r="N98" i="3"/>
  <c r="O98" i="3"/>
  <c r="N99" i="3"/>
  <c r="O99" i="3"/>
  <c r="N100" i="3"/>
  <c r="O100" i="3"/>
  <c r="N101" i="3"/>
  <c r="O101" i="3"/>
  <c r="N102" i="3"/>
  <c r="O102" i="3"/>
  <c r="N103" i="3"/>
  <c r="O103" i="3"/>
  <c r="N104" i="3"/>
  <c r="O104" i="3"/>
  <c r="N105" i="3"/>
  <c r="O105" i="3"/>
  <c r="N106" i="3"/>
  <c r="O106" i="3"/>
  <c r="N107" i="3"/>
  <c r="O107" i="3"/>
  <c r="N108" i="3"/>
  <c r="O108" i="3"/>
  <c r="N109" i="3"/>
  <c r="O109" i="3"/>
  <c r="N110" i="3"/>
  <c r="O110" i="3"/>
  <c r="N111" i="3"/>
  <c r="O111" i="3"/>
  <c r="N112" i="3"/>
  <c r="O112" i="3"/>
  <c r="N113" i="3"/>
  <c r="O113" i="3"/>
  <c r="N114" i="3"/>
  <c r="O114" i="3"/>
  <c r="N115" i="3"/>
  <c r="O115" i="3"/>
  <c r="N116" i="3"/>
  <c r="O116" i="3"/>
  <c r="N117" i="3"/>
  <c r="O117" i="3"/>
  <c r="N118" i="3"/>
  <c r="O118" i="3"/>
  <c r="N119" i="3"/>
  <c r="O119" i="3"/>
  <c r="N120" i="3"/>
  <c r="O120" i="3"/>
  <c r="N121" i="3"/>
  <c r="O121" i="3"/>
  <c r="N122" i="3"/>
  <c r="O122" i="3"/>
  <c r="N123" i="3"/>
  <c r="O123" i="3"/>
  <c r="N124" i="3"/>
  <c r="O124" i="3"/>
  <c r="N125" i="3"/>
  <c r="O125" i="3"/>
  <c r="N126" i="3"/>
  <c r="O126" i="3"/>
  <c r="N127" i="3"/>
  <c r="O127" i="3"/>
  <c r="N128" i="3"/>
  <c r="O128" i="3"/>
  <c r="N129" i="3"/>
  <c r="O129" i="3"/>
  <c r="N130" i="3"/>
  <c r="O130" i="3"/>
  <c r="N131" i="3"/>
  <c r="O131" i="3"/>
  <c r="N132" i="3"/>
  <c r="O132" i="3"/>
  <c r="N133" i="3"/>
  <c r="O133" i="3"/>
  <c r="N134" i="3"/>
  <c r="O134" i="3"/>
  <c r="N135" i="3"/>
  <c r="O135" i="3"/>
  <c r="N136" i="3"/>
  <c r="O136" i="3"/>
  <c r="N137" i="3"/>
  <c r="O137" i="3"/>
  <c r="N138" i="3"/>
  <c r="O138" i="3"/>
  <c r="N139" i="3"/>
  <c r="O139" i="3"/>
  <c r="N140" i="3"/>
  <c r="O140" i="3"/>
  <c r="N141" i="3"/>
  <c r="O141" i="3"/>
  <c r="N142" i="3"/>
  <c r="O142" i="3"/>
  <c r="N143" i="3"/>
  <c r="O143" i="3"/>
  <c r="N144" i="3"/>
  <c r="O144" i="3"/>
  <c r="N145" i="3"/>
  <c r="O145" i="3"/>
  <c r="N146" i="3"/>
  <c r="O146" i="3"/>
  <c r="N147" i="3"/>
  <c r="O147" i="3"/>
  <c r="N148" i="3"/>
  <c r="O148" i="3"/>
  <c r="N149" i="3"/>
  <c r="O149" i="3"/>
  <c r="N150" i="3"/>
  <c r="O150" i="3"/>
  <c r="N151" i="3"/>
  <c r="O151" i="3"/>
  <c r="N152" i="3"/>
  <c r="O152" i="3"/>
  <c r="N153" i="3"/>
  <c r="O153" i="3"/>
  <c r="N154" i="3"/>
  <c r="O154" i="3"/>
  <c r="N155" i="3"/>
  <c r="O155" i="3"/>
  <c r="N156" i="3"/>
  <c r="O156" i="3"/>
  <c r="N157" i="3"/>
  <c r="O157" i="3"/>
  <c r="N158" i="3"/>
  <c r="O158" i="3"/>
  <c r="N159" i="3"/>
  <c r="O159" i="3"/>
  <c r="N160" i="3"/>
  <c r="O160" i="3"/>
  <c r="N161" i="3"/>
  <c r="O161" i="3"/>
  <c r="N162" i="3"/>
  <c r="O162" i="3"/>
  <c r="N163" i="3"/>
  <c r="O163" i="3"/>
  <c r="N164" i="3"/>
  <c r="O164" i="3"/>
  <c r="N165" i="3"/>
  <c r="O165" i="3"/>
  <c r="N166" i="3"/>
  <c r="O166" i="3"/>
  <c r="N167" i="3"/>
  <c r="O167" i="3"/>
  <c r="N168" i="3"/>
  <c r="O168" i="3"/>
  <c r="N169" i="3"/>
  <c r="O169" i="3"/>
  <c r="N170" i="3"/>
  <c r="O170" i="3"/>
  <c r="N171" i="3"/>
  <c r="O171" i="3"/>
  <c r="N172" i="3"/>
  <c r="O172" i="3"/>
  <c r="N173" i="3"/>
  <c r="O173" i="3"/>
  <c r="N174" i="3"/>
  <c r="O174" i="3"/>
  <c r="N175" i="3"/>
  <c r="O175" i="3"/>
  <c r="N176" i="3"/>
  <c r="O176" i="3"/>
  <c r="N177" i="3"/>
  <c r="O177" i="3"/>
  <c r="N178" i="3"/>
  <c r="O178" i="3"/>
  <c r="N179" i="3"/>
  <c r="O179" i="3"/>
  <c r="N180" i="3"/>
  <c r="O180" i="3"/>
  <c r="N181" i="3"/>
  <c r="O181" i="3"/>
  <c r="N182" i="3"/>
  <c r="O182" i="3"/>
  <c r="N183" i="3"/>
  <c r="O183" i="3"/>
  <c r="N184" i="3"/>
  <c r="O184" i="3"/>
  <c r="N185" i="3"/>
  <c r="O185" i="3"/>
  <c r="N186" i="3"/>
  <c r="O186" i="3"/>
  <c r="N187" i="3"/>
  <c r="O187" i="3"/>
  <c r="N188" i="3"/>
  <c r="O188" i="3"/>
  <c r="N189" i="3"/>
  <c r="O189" i="3"/>
  <c r="N190" i="3"/>
  <c r="O190" i="3"/>
  <c r="N191" i="3"/>
  <c r="O191" i="3"/>
  <c r="N192" i="3"/>
  <c r="O192" i="3"/>
  <c r="N193" i="3"/>
  <c r="O193" i="3"/>
  <c r="N194" i="3"/>
  <c r="O194" i="3"/>
  <c r="N195" i="3"/>
  <c r="O195" i="3"/>
  <c r="N196" i="3"/>
  <c r="O196" i="3"/>
  <c r="N197" i="3"/>
  <c r="O197" i="3"/>
  <c r="N198" i="3"/>
  <c r="O198" i="3"/>
  <c r="N199" i="3"/>
  <c r="O199" i="3"/>
  <c r="N200" i="3"/>
  <c r="O200" i="3"/>
  <c r="N201" i="3"/>
  <c r="O201" i="3"/>
  <c r="N202" i="3"/>
  <c r="O202" i="3"/>
  <c r="N203" i="3"/>
  <c r="O203" i="3"/>
  <c r="N204" i="3"/>
  <c r="O204" i="3"/>
  <c r="N205" i="3"/>
  <c r="O205" i="3"/>
  <c r="N206" i="3"/>
  <c r="O206" i="3"/>
  <c r="N207" i="3"/>
  <c r="O207" i="3"/>
  <c r="N208" i="3"/>
  <c r="O208" i="3"/>
  <c r="N209" i="3"/>
  <c r="O209" i="3"/>
  <c r="N210" i="3"/>
  <c r="O210" i="3"/>
  <c r="N211" i="3"/>
  <c r="O211" i="3"/>
  <c r="N212" i="3"/>
  <c r="O212" i="3"/>
  <c r="N213" i="3"/>
  <c r="O213" i="3"/>
  <c r="N214" i="3"/>
  <c r="O214" i="3"/>
  <c r="N215" i="3"/>
  <c r="O215" i="3"/>
  <c r="N216" i="3"/>
  <c r="O216" i="3"/>
  <c r="N217" i="3"/>
  <c r="O217" i="3"/>
  <c r="N218" i="3"/>
  <c r="O218" i="3"/>
  <c r="N219" i="3"/>
  <c r="O219" i="3"/>
  <c r="N220" i="3"/>
  <c r="O220" i="3"/>
  <c r="N221" i="3"/>
  <c r="O221" i="3"/>
  <c r="N222" i="3"/>
  <c r="O222" i="3"/>
  <c r="N223" i="3"/>
  <c r="O223" i="3"/>
  <c r="N224" i="3"/>
  <c r="O224" i="3"/>
  <c r="N225" i="3"/>
  <c r="O225" i="3"/>
  <c r="N226" i="3"/>
  <c r="O226" i="3"/>
  <c r="N227" i="3"/>
  <c r="O227" i="3"/>
  <c r="N228" i="3"/>
  <c r="O228" i="3"/>
  <c r="N229" i="3"/>
  <c r="O229" i="3"/>
  <c r="N230" i="3"/>
  <c r="O230" i="3"/>
  <c r="N231" i="3"/>
  <c r="O231" i="3"/>
  <c r="N232" i="3"/>
  <c r="O232" i="3"/>
  <c r="N233" i="3"/>
  <c r="O233" i="3"/>
  <c r="N234" i="3"/>
  <c r="O234" i="3"/>
  <c r="N235" i="3"/>
  <c r="O235" i="3"/>
  <c r="N236" i="3"/>
  <c r="O236" i="3"/>
  <c r="N237" i="3"/>
  <c r="O237" i="3"/>
  <c r="N238" i="3"/>
  <c r="O238" i="3"/>
  <c r="N239" i="3"/>
  <c r="O239" i="3"/>
  <c r="N240" i="3"/>
  <c r="O240" i="3"/>
  <c r="N241" i="3"/>
  <c r="O241" i="3"/>
  <c r="N242" i="3"/>
  <c r="O242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K38" i="3"/>
  <c r="L38" i="3"/>
  <c r="K39" i="3"/>
  <c r="L39" i="3"/>
  <c r="K40" i="3"/>
  <c r="L40" i="3"/>
  <c r="K41" i="3"/>
  <c r="L41" i="3"/>
  <c r="K42" i="3"/>
  <c r="L42" i="3"/>
  <c r="K43" i="3"/>
  <c r="L43" i="3"/>
  <c r="K44" i="3"/>
  <c r="L44" i="3"/>
  <c r="K45" i="3"/>
  <c r="L45" i="3"/>
  <c r="K46" i="3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/>
  <c r="K66" i="3"/>
  <c r="L66" i="3"/>
  <c r="K67" i="3"/>
  <c r="L67" i="3"/>
  <c r="K68" i="3"/>
  <c r="L68" i="3"/>
  <c r="K69" i="3"/>
  <c r="L69" i="3"/>
  <c r="K70" i="3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93" i="3"/>
  <c r="L93" i="3"/>
  <c r="K94" i="3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/>
  <c r="K102" i="3"/>
  <c r="L102" i="3"/>
  <c r="K103" i="3"/>
  <c r="L103" i="3"/>
  <c r="K104" i="3"/>
  <c r="L104" i="3"/>
  <c r="K105" i="3"/>
  <c r="L105" i="3"/>
  <c r="K106" i="3"/>
  <c r="L106" i="3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K115" i="3"/>
  <c r="L115" i="3"/>
  <c r="K116" i="3"/>
  <c r="L116" i="3"/>
  <c r="K117" i="3"/>
  <c r="L117" i="3"/>
  <c r="K118" i="3"/>
  <c r="L118" i="3"/>
  <c r="K119" i="3"/>
  <c r="L119" i="3"/>
  <c r="K120" i="3"/>
  <c r="L120" i="3"/>
  <c r="K121" i="3"/>
  <c r="L121" i="3"/>
  <c r="K122" i="3"/>
  <c r="L122" i="3"/>
  <c r="K123" i="3"/>
  <c r="L123" i="3"/>
  <c r="K124" i="3"/>
  <c r="L124" i="3"/>
  <c r="K125" i="3"/>
  <c r="L125" i="3"/>
  <c r="K126" i="3"/>
  <c r="L126" i="3"/>
  <c r="K127" i="3"/>
  <c r="L127" i="3"/>
  <c r="K128" i="3"/>
  <c r="L128" i="3"/>
  <c r="K129" i="3"/>
  <c r="L129" i="3"/>
  <c r="K130" i="3"/>
  <c r="L130" i="3"/>
  <c r="K131" i="3"/>
  <c r="L131" i="3"/>
  <c r="K132" i="3"/>
  <c r="L132" i="3"/>
  <c r="K133" i="3"/>
  <c r="L133" i="3"/>
  <c r="K134" i="3"/>
  <c r="L134" i="3"/>
  <c r="K135" i="3"/>
  <c r="L135" i="3"/>
  <c r="K136" i="3"/>
  <c r="L136" i="3"/>
  <c r="K137" i="3"/>
  <c r="L137" i="3"/>
  <c r="K138" i="3"/>
  <c r="L138" i="3"/>
  <c r="K139" i="3"/>
  <c r="L139" i="3"/>
  <c r="K140" i="3"/>
  <c r="L140" i="3"/>
  <c r="K141" i="3"/>
  <c r="L141" i="3"/>
  <c r="K142" i="3"/>
  <c r="L142" i="3"/>
  <c r="K143" i="3"/>
  <c r="L143" i="3"/>
  <c r="K144" i="3"/>
  <c r="L144" i="3"/>
  <c r="K145" i="3"/>
  <c r="L145" i="3"/>
  <c r="K146" i="3"/>
  <c r="L146" i="3"/>
  <c r="K147" i="3"/>
  <c r="L147" i="3"/>
  <c r="K148" i="3"/>
  <c r="L148" i="3"/>
  <c r="K149" i="3"/>
  <c r="L149" i="3"/>
  <c r="K150" i="3"/>
  <c r="L150" i="3"/>
  <c r="K151" i="3"/>
  <c r="L151" i="3"/>
  <c r="K152" i="3"/>
  <c r="L152" i="3"/>
  <c r="K153" i="3"/>
  <c r="L153" i="3"/>
  <c r="K154" i="3"/>
  <c r="L154" i="3"/>
  <c r="K155" i="3"/>
  <c r="L155" i="3"/>
  <c r="K156" i="3"/>
  <c r="L156" i="3"/>
  <c r="K157" i="3"/>
  <c r="L157" i="3"/>
  <c r="K158" i="3"/>
  <c r="L158" i="3"/>
  <c r="K159" i="3"/>
  <c r="L159" i="3"/>
  <c r="K160" i="3"/>
  <c r="L160" i="3"/>
  <c r="K161" i="3"/>
  <c r="L161" i="3"/>
  <c r="K162" i="3"/>
  <c r="L162" i="3"/>
  <c r="K163" i="3"/>
  <c r="L163" i="3"/>
  <c r="K164" i="3"/>
  <c r="L164" i="3"/>
  <c r="K165" i="3"/>
  <c r="L165" i="3"/>
  <c r="K166" i="3"/>
  <c r="L166" i="3"/>
  <c r="K167" i="3"/>
  <c r="L167" i="3"/>
  <c r="K168" i="3"/>
  <c r="L168" i="3"/>
  <c r="K169" i="3"/>
  <c r="L169" i="3"/>
  <c r="K170" i="3"/>
  <c r="L170" i="3"/>
  <c r="K171" i="3"/>
  <c r="L171" i="3"/>
  <c r="K172" i="3"/>
  <c r="L172" i="3"/>
  <c r="K173" i="3"/>
  <c r="L173" i="3"/>
  <c r="K174" i="3"/>
  <c r="L174" i="3"/>
  <c r="K175" i="3"/>
  <c r="L175" i="3"/>
  <c r="K176" i="3"/>
  <c r="L176" i="3"/>
  <c r="K177" i="3"/>
  <c r="L177" i="3"/>
  <c r="K178" i="3"/>
  <c r="L178" i="3"/>
  <c r="K179" i="3"/>
  <c r="L179" i="3"/>
  <c r="K180" i="3"/>
  <c r="L180" i="3"/>
  <c r="K181" i="3"/>
  <c r="L181" i="3"/>
  <c r="K182" i="3"/>
  <c r="L182" i="3"/>
  <c r="K183" i="3"/>
  <c r="L183" i="3"/>
  <c r="K184" i="3"/>
  <c r="L184" i="3"/>
  <c r="K185" i="3"/>
  <c r="L185" i="3"/>
  <c r="K186" i="3"/>
  <c r="L186" i="3"/>
  <c r="K187" i="3"/>
  <c r="L187" i="3"/>
  <c r="K188" i="3"/>
  <c r="L188" i="3"/>
  <c r="K189" i="3"/>
  <c r="L189" i="3"/>
  <c r="K190" i="3"/>
  <c r="L190" i="3"/>
  <c r="K191" i="3"/>
  <c r="L191" i="3"/>
  <c r="K192" i="3"/>
  <c r="L192" i="3"/>
  <c r="K193" i="3"/>
  <c r="L193" i="3"/>
  <c r="K194" i="3"/>
  <c r="L194" i="3"/>
  <c r="K195" i="3"/>
  <c r="L195" i="3"/>
  <c r="K196" i="3"/>
  <c r="L196" i="3"/>
  <c r="K197" i="3"/>
  <c r="L197" i="3"/>
  <c r="K198" i="3"/>
  <c r="L198" i="3"/>
  <c r="K199" i="3"/>
  <c r="L199" i="3"/>
  <c r="K200" i="3"/>
  <c r="L200" i="3"/>
  <c r="K201" i="3"/>
  <c r="L201" i="3"/>
  <c r="K202" i="3"/>
  <c r="L202" i="3"/>
  <c r="K203" i="3"/>
  <c r="L203" i="3"/>
  <c r="K204" i="3"/>
  <c r="L204" i="3"/>
  <c r="K205" i="3"/>
  <c r="L205" i="3"/>
  <c r="K206" i="3"/>
  <c r="L206" i="3"/>
  <c r="K207" i="3"/>
  <c r="L207" i="3"/>
  <c r="K208" i="3"/>
  <c r="L208" i="3"/>
  <c r="K209" i="3"/>
  <c r="L209" i="3"/>
  <c r="K210" i="3"/>
  <c r="L210" i="3"/>
  <c r="K211" i="3"/>
  <c r="L211" i="3"/>
  <c r="K212" i="3"/>
  <c r="L212" i="3"/>
  <c r="K213" i="3"/>
  <c r="L213" i="3"/>
  <c r="K214" i="3"/>
  <c r="L214" i="3"/>
  <c r="K215" i="3"/>
  <c r="L215" i="3"/>
  <c r="K216" i="3"/>
  <c r="L216" i="3"/>
  <c r="K217" i="3"/>
  <c r="L217" i="3"/>
  <c r="K218" i="3"/>
  <c r="L218" i="3"/>
  <c r="K219" i="3"/>
  <c r="L219" i="3"/>
  <c r="K220" i="3"/>
  <c r="L220" i="3"/>
  <c r="K221" i="3"/>
  <c r="L221" i="3"/>
  <c r="K222" i="3"/>
  <c r="L222" i="3"/>
  <c r="K223" i="3"/>
  <c r="L223" i="3"/>
  <c r="K224" i="3"/>
  <c r="L224" i="3"/>
  <c r="K225" i="3"/>
  <c r="L225" i="3"/>
  <c r="K226" i="3"/>
  <c r="L226" i="3"/>
  <c r="K227" i="3"/>
  <c r="L227" i="3"/>
  <c r="K228" i="3"/>
  <c r="L228" i="3"/>
  <c r="K229" i="3"/>
  <c r="L229" i="3"/>
  <c r="K230" i="3"/>
  <c r="L230" i="3"/>
  <c r="K231" i="3"/>
  <c r="L231" i="3"/>
  <c r="K232" i="3"/>
  <c r="L232" i="3"/>
  <c r="K233" i="3"/>
  <c r="L233" i="3"/>
  <c r="K234" i="3"/>
  <c r="L234" i="3"/>
  <c r="K235" i="3"/>
  <c r="L235" i="3"/>
  <c r="K236" i="3"/>
  <c r="L236" i="3"/>
  <c r="K237" i="3"/>
  <c r="L237" i="3"/>
  <c r="K238" i="3"/>
  <c r="L238" i="3"/>
  <c r="K239" i="3"/>
  <c r="L239" i="3"/>
  <c r="K240" i="3"/>
  <c r="L240" i="3"/>
  <c r="K241" i="3"/>
  <c r="L241" i="3"/>
  <c r="K242" i="3"/>
  <c r="L242" i="3"/>
  <c r="J12" i="3"/>
  <c r="M12" i="3" s="1"/>
  <c r="J13" i="3"/>
  <c r="M13" i="3" s="1"/>
  <c r="J14" i="3"/>
  <c r="M14" i="3" s="1"/>
  <c r="J15" i="3"/>
  <c r="M15" i="3" s="1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11" i="3"/>
  <c r="M11" i="3" s="1"/>
  <c r="G248" i="3"/>
  <c r="I248" i="3" s="1"/>
  <c r="G247" i="3"/>
  <c r="I247" i="3" s="1"/>
  <c r="G246" i="3"/>
  <c r="I246" i="3" s="1"/>
  <c r="G245" i="3"/>
  <c r="I245" i="3" s="1"/>
  <c r="G244" i="3"/>
  <c r="G243" i="3"/>
  <c r="H243" i="3" s="1"/>
  <c r="G242" i="3"/>
  <c r="I242" i="3" s="1"/>
  <c r="G241" i="3"/>
  <c r="I241" i="3" s="1"/>
  <c r="G240" i="3"/>
  <c r="I240" i="3" s="1"/>
  <c r="G239" i="3"/>
  <c r="I239" i="3" s="1"/>
  <c r="G238" i="3"/>
  <c r="H238" i="3" s="1"/>
  <c r="G237" i="3"/>
  <c r="I237" i="3" s="1"/>
  <c r="G236" i="3"/>
  <c r="I236" i="3" s="1"/>
  <c r="G235" i="3"/>
  <c r="H235" i="3" s="1"/>
  <c r="G234" i="3"/>
  <c r="I234" i="3" s="1"/>
  <c r="G233" i="3"/>
  <c r="H233" i="3" s="1"/>
  <c r="G232" i="3"/>
  <c r="H232" i="3" s="1"/>
  <c r="G231" i="3"/>
  <c r="I231" i="3" s="1"/>
  <c r="G230" i="3"/>
  <c r="G229" i="3"/>
  <c r="I229" i="3" s="1"/>
  <c r="G228" i="3"/>
  <c r="G227" i="3"/>
  <c r="I227" i="3" s="1"/>
  <c r="G226" i="3"/>
  <c r="G225" i="3"/>
  <c r="I225" i="3" s="1"/>
  <c r="G224" i="3"/>
  <c r="I224" i="3" s="1"/>
  <c r="G223" i="3"/>
  <c r="I223" i="3" s="1"/>
  <c r="G222" i="3"/>
  <c r="H222" i="3" s="1"/>
  <c r="G221" i="3"/>
  <c r="G220" i="3"/>
  <c r="I220" i="3" s="1"/>
  <c r="G219" i="3"/>
  <c r="H219" i="3" s="1"/>
  <c r="G218" i="3"/>
  <c r="H218" i="3" s="1"/>
  <c r="G217" i="3"/>
  <c r="I217" i="3" s="1"/>
  <c r="G216" i="3"/>
  <c r="H216" i="3" s="1"/>
  <c r="G215" i="3"/>
  <c r="I215" i="3" s="1"/>
  <c r="G214" i="3"/>
  <c r="G213" i="3"/>
  <c r="I213" i="3" s="1"/>
  <c r="G212" i="3"/>
  <c r="I212" i="3" s="1"/>
  <c r="G211" i="3"/>
  <c r="I211" i="3" s="1"/>
  <c r="G210" i="3"/>
  <c r="G209" i="3"/>
  <c r="I209" i="3" s="1"/>
  <c r="G208" i="3"/>
  <c r="I208" i="3" s="1"/>
  <c r="G207" i="3"/>
  <c r="I207" i="3" s="1"/>
  <c r="G206" i="3"/>
  <c r="H206" i="3" s="1"/>
  <c r="G205" i="3"/>
  <c r="G204" i="3"/>
  <c r="G203" i="3"/>
  <c r="H203" i="3" s="1"/>
  <c r="G202" i="3"/>
  <c r="H202" i="3" s="1"/>
  <c r="G201" i="3"/>
  <c r="H201" i="3" s="1"/>
  <c r="G200" i="3"/>
  <c r="H200" i="3" s="1"/>
  <c r="G199" i="3"/>
  <c r="H199" i="3" s="1"/>
  <c r="G198" i="3"/>
  <c r="G197" i="3"/>
  <c r="I197" i="3" s="1"/>
  <c r="G196" i="3"/>
  <c r="I196" i="3" s="1"/>
  <c r="G195" i="3"/>
  <c r="I195" i="3" s="1"/>
  <c r="G194" i="3"/>
  <c r="G193" i="3"/>
  <c r="I193" i="3" s="1"/>
  <c r="G192" i="3"/>
  <c r="I192" i="3" s="1"/>
  <c r="G191" i="3"/>
  <c r="I191" i="3" s="1"/>
  <c r="G190" i="3"/>
  <c r="H190" i="3" s="1"/>
  <c r="G189" i="3"/>
  <c r="G188" i="3"/>
  <c r="G187" i="3"/>
  <c r="G186" i="3"/>
  <c r="H186" i="3" s="1"/>
  <c r="G185" i="3"/>
  <c r="H185" i="3" s="1"/>
  <c r="G184" i="3"/>
  <c r="H184" i="3" s="1"/>
  <c r="G183" i="3"/>
  <c r="I183" i="3" s="1"/>
  <c r="G182" i="3"/>
  <c r="G181" i="3"/>
  <c r="G180" i="3"/>
  <c r="I180" i="3" s="1"/>
  <c r="G179" i="3"/>
  <c r="I179" i="3" s="1"/>
  <c r="G178" i="3"/>
  <c r="G177" i="3"/>
  <c r="I177" i="3" s="1"/>
  <c r="G176" i="3"/>
  <c r="I176" i="3" s="1"/>
  <c r="G175" i="3"/>
  <c r="I175" i="3" s="1"/>
  <c r="G174" i="3"/>
  <c r="I174" i="3" s="1"/>
  <c r="G173" i="3"/>
  <c r="G172" i="3"/>
  <c r="G171" i="3"/>
  <c r="G170" i="3"/>
  <c r="H170" i="3" s="1"/>
  <c r="G169" i="3"/>
  <c r="I169" i="3" s="1"/>
  <c r="G168" i="3"/>
  <c r="H168" i="3" s="1"/>
  <c r="G167" i="3"/>
  <c r="I167" i="3" s="1"/>
  <c r="G166" i="3"/>
  <c r="G165" i="3"/>
  <c r="G164" i="3"/>
  <c r="G163" i="3"/>
  <c r="I163" i="3" s="1"/>
  <c r="G162" i="3"/>
  <c r="H162" i="3" s="1"/>
  <c r="G161" i="3"/>
  <c r="I161" i="3" s="1"/>
  <c r="G160" i="3"/>
  <c r="I160" i="3" s="1"/>
  <c r="G159" i="3"/>
  <c r="I159" i="3" s="1"/>
  <c r="G158" i="3"/>
  <c r="H158" i="3" s="1"/>
  <c r="G157" i="3"/>
  <c r="G156" i="3"/>
  <c r="G155" i="3"/>
  <c r="G154" i="3"/>
  <c r="H154" i="3" s="1"/>
  <c r="G153" i="3"/>
  <c r="H153" i="3" s="1"/>
  <c r="G152" i="3"/>
  <c r="H152" i="3" s="1"/>
  <c r="G151" i="3"/>
  <c r="H151" i="3" s="1"/>
  <c r="G150" i="3"/>
  <c r="G149" i="3"/>
  <c r="G148" i="3"/>
  <c r="G147" i="3"/>
  <c r="I147" i="3" s="1"/>
  <c r="G146" i="3"/>
  <c r="G145" i="3"/>
  <c r="I145" i="3" s="1"/>
  <c r="G144" i="3"/>
  <c r="I144" i="3" s="1"/>
  <c r="G143" i="3"/>
  <c r="I143" i="3" s="1"/>
  <c r="G142" i="3"/>
  <c r="I142" i="3" s="1"/>
  <c r="G141" i="3"/>
  <c r="G140" i="3"/>
  <c r="G139" i="3"/>
  <c r="G138" i="3"/>
  <c r="H138" i="3" s="1"/>
  <c r="G137" i="3"/>
  <c r="H137" i="3" s="1"/>
  <c r="G136" i="3"/>
  <c r="H136" i="3" s="1"/>
  <c r="G135" i="3"/>
  <c r="I135" i="3" s="1"/>
  <c r="G134" i="3"/>
  <c r="G133" i="3"/>
  <c r="G132" i="3"/>
  <c r="G131" i="3"/>
  <c r="I131" i="3" s="1"/>
  <c r="G130" i="3"/>
  <c r="G129" i="3"/>
  <c r="I129" i="3" s="1"/>
  <c r="G128" i="3"/>
  <c r="I128" i="3" s="1"/>
  <c r="G127" i="3"/>
  <c r="H127" i="3" s="1"/>
  <c r="G126" i="3"/>
  <c r="I126" i="3" s="1"/>
  <c r="G125" i="3"/>
  <c r="G124" i="3"/>
  <c r="G123" i="3"/>
  <c r="G122" i="3"/>
  <c r="H122" i="3" s="1"/>
  <c r="G121" i="3"/>
  <c r="I121" i="3" s="1"/>
  <c r="G120" i="3"/>
  <c r="H120" i="3" s="1"/>
  <c r="G119" i="3"/>
  <c r="H119" i="3" s="1"/>
  <c r="G118" i="3"/>
  <c r="G117" i="3"/>
  <c r="G116" i="3"/>
  <c r="G115" i="3"/>
  <c r="I115" i="3" s="1"/>
  <c r="G114" i="3"/>
  <c r="G113" i="3"/>
  <c r="I113" i="3" s="1"/>
  <c r="G112" i="3"/>
  <c r="I112" i="3" s="1"/>
  <c r="G111" i="3"/>
  <c r="I111" i="3" s="1"/>
  <c r="G110" i="3"/>
  <c r="I110" i="3" s="1"/>
  <c r="G109" i="3"/>
  <c r="G108" i="3"/>
  <c r="G107" i="3"/>
  <c r="H107" i="3" s="1"/>
  <c r="G106" i="3"/>
  <c r="H106" i="3" s="1"/>
  <c r="G105" i="3"/>
  <c r="H105" i="3" s="1"/>
  <c r="G104" i="3"/>
  <c r="H104" i="3" s="1"/>
  <c r="G103" i="3"/>
  <c r="I103" i="3" s="1"/>
  <c r="G102" i="3"/>
  <c r="G101" i="3"/>
  <c r="G100" i="3"/>
  <c r="G99" i="3"/>
  <c r="I99" i="3" s="1"/>
  <c r="G98" i="3"/>
  <c r="I98" i="3" s="1"/>
  <c r="G97" i="3"/>
  <c r="I97" i="3" s="1"/>
  <c r="G96" i="3"/>
  <c r="I96" i="3" s="1"/>
  <c r="G95" i="3"/>
  <c r="I95" i="3" s="1"/>
  <c r="G94" i="3"/>
  <c r="I94" i="3" s="1"/>
  <c r="G93" i="3"/>
  <c r="G92" i="3"/>
  <c r="G91" i="3"/>
  <c r="H91" i="3" s="1"/>
  <c r="G90" i="3"/>
  <c r="H90" i="3" s="1"/>
  <c r="G89" i="3"/>
  <c r="I89" i="3" s="1"/>
  <c r="G88" i="3"/>
  <c r="H88" i="3" s="1"/>
  <c r="G87" i="3"/>
  <c r="I87" i="3" s="1"/>
  <c r="G86" i="3"/>
  <c r="G85" i="3"/>
  <c r="G84" i="3"/>
  <c r="I84" i="3" s="1"/>
  <c r="G83" i="3"/>
  <c r="I83" i="3" s="1"/>
  <c r="G82" i="3"/>
  <c r="G81" i="3"/>
  <c r="H81" i="3" s="1"/>
  <c r="G80" i="3"/>
  <c r="I80" i="3" s="1"/>
  <c r="G79" i="3"/>
  <c r="I79" i="3" s="1"/>
  <c r="G78" i="3"/>
  <c r="I78" i="3" s="1"/>
  <c r="G77" i="3"/>
  <c r="G76" i="3"/>
  <c r="G75" i="3"/>
  <c r="G74" i="3"/>
  <c r="H74" i="3" s="1"/>
  <c r="G73" i="3"/>
  <c r="I73" i="3" s="1"/>
  <c r="G72" i="3"/>
  <c r="I72" i="3" s="1"/>
  <c r="G71" i="3"/>
  <c r="H71" i="3" s="1"/>
  <c r="G70" i="3"/>
  <c r="G69" i="3"/>
  <c r="G68" i="3"/>
  <c r="I68" i="3" s="1"/>
  <c r="G67" i="3"/>
  <c r="H67" i="3" s="1"/>
  <c r="G66" i="3"/>
  <c r="H66" i="3" s="1"/>
  <c r="G65" i="3"/>
  <c r="H65" i="3" s="1"/>
  <c r="G64" i="3"/>
  <c r="I64" i="3" s="1"/>
  <c r="G63" i="3"/>
  <c r="I63" i="3" s="1"/>
  <c r="G62" i="3"/>
  <c r="I62" i="3" s="1"/>
  <c r="G61" i="3"/>
  <c r="G60" i="3"/>
  <c r="G59" i="3"/>
  <c r="G58" i="3"/>
  <c r="H58" i="3" s="1"/>
  <c r="G57" i="3"/>
  <c r="I57" i="3" s="1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P4" i="1"/>
  <c r="P3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L5" i="1"/>
  <c r="K5" i="1"/>
  <c r="H262" i="1"/>
  <c r="H263" i="1"/>
  <c r="H264" i="1"/>
  <c r="H265" i="1"/>
  <c r="H266" i="1"/>
  <c r="H267" i="1"/>
  <c r="H268" i="1"/>
  <c r="H269" i="1"/>
  <c r="H270" i="1"/>
  <c r="H271" i="1"/>
  <c r="H272" i="1"/>
  <c r="H261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69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57" i="1"/>
  <c r="F58" i="1"/>
  <c r="F59" i="1"/>
  <c r="F60" i="1"/>
  <c r="F61" i="1"/>
  <c r="F62" i="1"/>
  <c r="F63" i="1"/>
  <c r="F64" i="1"/>
  <c r="F65" i="1"/>
  <c r="F66" i="1"/>
  <c r="F67" i="1"/>
  <c r="F68" i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57" i="1"/>
  <c r="C58" i="1"/>
  <c r="C59" i="1"/>
  <c r="C60" i="1"/>
  <c r="C61" i="1"/>
  <c r="C62" i="1"/>
  <c r="C63" i="1"/>
  <c r="C64" i="1"/>
  <c r="C65" i="1"/>
  <c r="C66" i="1"/>
  <c r="C67" i="1"/>
  <c r="C68" i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57" i="1"/>
  <c r="R40" i="7" l="1"/>
  <c r="T40" i="7" s="1"/>
  <c r="R41" i="7"/>
  <c r="T41" i="7" s="1"/>
  <c r="I233" i="3"/>
  <c r="I81" i="3"/>
  <c r="I65" i="3"/>
  <c r="I105" i="3"/>
  <c r="H57" i="3"/>
  <c r="H73" i="3"/>
  <c r="H175" i="3"/>
  <c r="H131" i="3"/>
  <c r="H103" i="3"/>
  <c r="H89" i="3"/>
  <c r="H79" i="3"/>
  <c r="H111" i="3"/>
  <c r="I119" i="3"/>
  <c r="H147" i="3"/>
  <c r="I199" i="3"/>
  <c r="H211" i="3"/>
  <c r="H225" i="3"/>
  <c r="H237" i="3"/>
  <c r="H62" i="3"/>
  <c r="I190" i="3"/>
  <c r="I201" i="3"/>
  <c r="H227" i="3"/>
  <c r="H87" i="3"/>
  <c r="I153" i="3"/>
  <c r="H167" i="3"/>
  <c r="H179" i="3"/>
  <c r="H193" i="3"/>
  <c r="I71" i="3"/>
  <c r="H78" i="3"/>
  <c r="I127" i="3"/>
  <c r="H207" i="3"/>
  <c r="H208" i="3"/>
  <c r="I158" i="3"/>
  <c r="H234" i="3"/>
  <c r="H99" i="3"/>
  <c r="H176" i="3"/>
  <c r="H126" i="3"/>
  <c r="I151" i="3"/>
  <c r="H160" i="3"/>
  <c r="H177" i="3"/>
  <c r="H195" i="3"/>
  <c r="I222" i="3"/>
  <c r="H231" i="3"/>
  <c r="I238" i="3"/>
  <c r="H159" i="3"/>
  <c r="I67" i="3"/>
  <c r="H110" i="3"/>
  <c r="H143" i="3"/>
  <c r="H169" i="3"/>
  <c r="H115" i="3"/>
  <c r="H142" i="3"/>
  <c r="H94" i="3"/>
  <c r="H135" i="3"/>
  <c r="I152" i="3"/>
  <c r="H161" i="3"/>
  <c r="I206" i="3"/>
  <c r="H215" i="3"/>
  <c r="H223" i="3"/>
  <c r="I168" i="3"/>
  <c r="H144" i="3"/>
  <c r="I232" i="3"/>
  <c r="I66" i="3"/>
  <c r="H224" i="3"/>
  <c r="H95" i="3"/>
  <c r="I136" i="3"/>
  <c r="H145" i="3"/>
  <c r="I216" i="3"/>
  <c r="I184" i="3"/>
  <c r="H63" i="3"/>
  <c r="I120" i="3"/>
  <c r="H128" i="3"/>
  <c r="H163" i="3"/>
  <c r="I243" i="3"/>
  <c r="I88" i="3"/>
  <c r="H96" i="3"/>
  <c r="I104" i="3"/>
  <c r="H112" i="3"/>
  <c r="I137" i="3"/>
  <c r="H217" i="3"/>
  <c r="H121" i="3"/>
  <c r="H129" i="3"/>
  <c r="H191" i="3"/>
  <c r="H209" i="3"/>
  <c r="H64" i="3"/>
  <c r="H72" i="3"/>
  <c r="H97" i="3"/>
  <c r="H113" i="3"/>
  <c r="H174" i="3"/>
  <c r="I200" i="3"/>
  <c r="H80" i="3"/>
  <c r="H183" i="3"/>
  <c r="H192" i="3"/>
  <c r="I185" i="3"/>
  <c r="I226" i="3"/>
  <c r="I194" i="3"/>
  <c r="I107" i="3"/>
  <c r="H194" i="3"/>
  <c r="I59" i="3"/>
  <c r="I69" i="3"/>
  <c r="H69" i="3"/>
  <c r="I77" i="3"/>
  <c r="H77" i="3"/>
  <c r="I146" i="3"/>
  <c r="I165" i="3"/>
  <c r="H165" i="3"/>
  <c r="I181" i="3"/>
  <c r="H181" i="3"/>
  <c r="I189" i="3"/>
  <c r="H189" i="3"/>
  <c r="H226" i="3"/>
  <c r="H82" i="3"/>
  <c r="I157" i="3"/>
  <c r="H157" i="3"/>
  <c r="I173" i="3"/>
  <c r="H173" i="3"/>
  <c r="H59" i="3"/>
  <c r="I82" i="3"/>
  <c r="I93" i="3"/>
  <c r="H93" i="3"/>
  <c r="H98" i="3"/>
  <c r="H146" i="3"/>
  <c r="I221" i="3"/>
  <c r="H221" i="3"/>
  <c r="I114" i="3"/>
  <c r="I130" i="3"/>
  <c r="I210" i="3"/>
  <c r="H139" i="3"/>
  <c r="I139" i="3"/>
  <c r="I162" i="3"/>
  <c r="I85" i="3"/>
  <c r="H85" i="3"/>
  <c r="I141" i="3"/>
  <c r="H141" i="3"/>
  <c r="I149" i="3"/>
  <c r="H149" i="3"/>
  <c r="I178" i="3"/>
  <c r="I109" i="3"/>
  <c r="H109" i="3"/>
  <c r="H114" i="3"/>
  <c r="H130" i="3"/>
  <c r="H187" i="3"/>
  <c r="I187" i="3"/>
  <c r="H210" i="3"/>
  <c r="I86" i="3"/>
  <c r="H86" i="3"/>
  <c r="I205" i="3"/>
  <c r="H205" i="3"/>
  <c r="I70" i="3"/>
  <c r="H70" i="3"/>
  <c r="I75" i="3"/>
  <c r="I125" i="3"/>
  <c r="H125" i="3"/>
  <c r="H171" i="3"/>
  <c r="I171" i="3"/>
  <c r="I61" i="3"/>
  <c r="H61" i="3"/>
  <c r="I123" i="3"/>
  <c r="H123" i="3"/>
  <c r="H178" i="3"/>
  <c r="I91" i="3"/>
  <c r="I101" i="3"/>
  <c r="H101" i="3"/>
  <c r="I155" i="3"/>
  <c r="H155" i="3"/>
  <c r="H75" i="3"/>
  <c r="I133" i="3"/>
  <c r="H133" i="3"/>
  <c r="I102" i="3"/>
  <c r="H102" i="3"/>
  <c r="I117" i="3"/>
  <c r="H117" i="3"/>
  <c r="H68" i="3"/>
  <c r="H84" i="3"/>
  <c r="H100" i="3"/>
  <c r="H116" i="3"/>
  <c r="H132" i="3"/>
  <c r="H148" i="3"/>
  <c r="H164" i="3"/>
  <c r="H180" i="3"/>
  <c r="H196" i="3"/>
  <c r="I203" i="3"/>
  <c r="H212" i="3"/>
  <c r="I219" i="3"/>
  <c r="H228" i="3"/>
  <c r="I235" i="3"/>
  <c r="H244" i="3"/>
  <c r="I100" i="3"/>
  <c r="I116" i="3"/>
  <c r="I132" i="3"/>
  <c r="I148" i="3"/>
  <c r="I164" i="3"/>
  <c r="I228" i="3"/>
  <c r="H239" i="3"/>
  <c r="I244" i="3"/>
  <c r="H118" i="3"/>
  <c r="H134" i="3"/>
  <c r="H150" i="3"/>
  <c r="H166" i="3"/>
  <c r="H182" i="3"/>
  <c r="H198" i="3"/>
  <c r="H214" i="3"/>
  <c r="H230" i="3"/>
  <c r="I118" i="3"/>
  <c r="I134" i="3"/>
  <c r="I150" i="3"/>
  <c r="I166" i="3"/>
  <c r="I182" i="3"/>
  <c r="I198" i="3"/>
  <c r="I214" i="3"/>
  <c r="I230" i="3"/>
  <c r="H245" i="3"/>
  <c r="H240" i="3"/>
  <c r="H246" i="3"/>
  <c r="I58" i="3"/>
  <c r="I74" i="3"/>
  <c r="H83" i="3"/>
  <c r="I90" i="3"/>
  <c r="I106" i="3"/>
  <c r="I122" i="3"/>
  <c r="I138" i="3"/>
  <c r="I154" i="3"/>
  <c r="I170" i="3"/>
  <c r="I186" i="3"/>
  <c r="I202" i="3"/>
  <c r="I218" i="3"/>
  <c r="H241" i="3"/>
  <c r="H60" i="3"/>
  <c r="H76" i="3"/>
  <c r="H92" i="3"/>
  <c r="H108" i="3"/>
  <c r="H124" i="3"/>
  <c r="H140" i="3"/>
  <c r="H156" i="3"/>
  <c r="H172" i="3"/>
  <c r="H188" i="3"/>
  <c r="H204" i="3"/>
  <c r="H220" i="3"/>
  <c r="H236" i="3"/>
  <c r="I60" i="3"/>
  <c r="I76" i="3"/>
  <c r="I92" i="3"/>
  <c r="I108" i="3"/>
  <c r="I124" i="3"/>
  <c r="I140" i="3"/>
  <c r="I156" i="3"/>
  <c r="I172" i="3"/>
  <c r="I188" i="3"/>
  <c r="H197" i="3"/>
  <c r="I204" i="3"/>
  <c r="H213" i="3"/>
  <c r="H229" i="3"/>
  <c r="H247" i="3"/>
  <c r="H242" i="3"/>
  <c r="H248" i="3"/>
  <c r="J6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68FC94-DE0E-43EB-80A5-80F27C9580AA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<sst xmlns="http://schemas.openxmlformats.org/spreadsheetml/2006/main" count="1850" uniqueCount="164">
  <si>
    <t>Comparativa mes año anterior</t>
  </si>
  <si>
    <t>PIB</t>
  </si>
  <si>
    <t xml:space="preserve"> </t>
  </si>
  <si>
    <t>Salidas</t>
  </si>
  <si>
    <t>Llegadas</t>
  </si>
  <si>
    <t>PASAJEROS TOTALES</t>
  </si>
  <si>
    <t xml:space="preserve">  </t>
  </si>
  <si>
    <t>Actual</t>
  </si>
  <si>
    <t>Año Ant</t>
  </si>
  <si>
    <t>% Var. Año Ant</t>
  </si>
  <si>
    <t>% salidas</t>
  </si>
  <si>
    <t>% llegadas</t>
  </si>
  <si>
    <t>Abr 26</t>
  </si>
  <si>
    <t>Mar 26</t>
  </si>
  <si>
    <t>Feb 26</t>
  </si>
  <si>
    <t>Ene 26</t>
  </si>
  <si>
    <t>Dic 25</t>
  </si>
  <si>
    <t>Nov 25</t>
  </si>
  <si>
    <t>Oct 25</t>
  </si>
  <si>
    <t>Sep 25</t>
  </si>
  <si>
    <t>Ago 25</t>
  </si>
  <si>
    <t>Jul 25</t>
  </si>
  <si>
    <t>Jun 25</t>
  </si>
  <si>
    <t>May 25</t>
  </si>
  <si>
    <t>Abr 25</t>
  </si>
  <si>
    <t>Mar 25</t>
  </si>
  <si>
    <t>Feb 25</t>
  </si>
  <si>
    <t>Ene 25</t>
  </si>
  <si>
    <t>Dic 24</t>
  </si>
  <si>
    <t>Nov 24</t>
  </si>
  <si>
    <t>Oct 24</t>
  </si>
  <si>
    <t>Sep 24</t>
  </si>
  <si>
    <t>Ago 24</t>
  </si>
  <si>
    <t>Jul 24</t>
  </si>
  <si>
    <t>Jun 24</t>
  </si>
  <si>
    <t>May 24</t>
  </si>
  <si>
    <t>Abr 24</t>
  </si>
  <si>
    <t>Mar 24</t>
  </si>
  <si>
    <t>Feb 24</t>
  </si>
  <si>
    <t>Ene 24</t>
  </si>
  <si>
    <t>Dic 23</t>
  </si>
  <si>
    <t>Nov 23</t>
  </si>
  <si>
    <t>Oct 23</t>
  </si>
  <si>
    <t>Sep 23</t>
  </si>
  <si>
    <t>Ago 23</t>
  </si>
  <si>
    <t>Jul 23</t>
  </si>
  <si>
    <t>Jun 23</t>
  </si>
  <si>
    <t>May 23</t>
  </si>
  <si>
    <t>Abr 23</t>
  </si>
  <si>
    <t>Mar 23</t>
  </si>
  <si>
    <t>Feb 23</t>
  </si>
  <si>
    <t>Ene 23</t>
  </si>
  <si>
    <t>Dic 22</t>
  </si>
  <si>
    <t>Nov 22</t>
  </si>
  <si>
    <t>Oct 22</t>
  </si>
  <si>
    <t>Sep 22</t>
  </si>
  <si>
    <t>Ago 22</t>
  </si>
  <si>
    <t>Jul 22</t>
  </si>
  <si>
    <t>Jun 22</t>
  </si>
  <si>
    <t>May 22</t>
  </si>
  <si>
    <t>Abr 22</t>
  </si>
  <si>
    <t>Mar 22</t>
  </si>
  <si>
    <t>Feb 22</t>
  </si>
  <si>
    <t>Ene 22</t>
  </si>
  <si>
    <t>Dic 21</t>
  </si>
  <si>
    <t>Nov 21</t>
  </si>
  <si>
    <t>Oct 21</t>
  </si>
  <si>
    <t>Sep 21</t>
  </si>
  <si>
    <t>Ago 21</t>
  </si>
  <si>
    <t>Jul 21</t>
  </si>
  <si>
    <t>Jun 21</t>
  </si>
  <si>
    <t>May 21</t>
  </si>
  <si>
    <t>Abr 21</t>
  </si>
  <si>
    <t>Mar 21</t>
  </si>
  <si>
    <t>Feb 21</t>
  </si>
  <si>
    <t>Ene 21</t>
  </si>
  <si>
    <t>promedio</t>
  </si>
  <si>
    <t>salidas</t>
  </si>
  <si>
    <t>llegadas</t>
  </si>
  <si>
    <t xml:space="preserve">Mes </t>
  </si>
  <si>
    <t>Año</t>
  </si>
  <si>
    <t>Trimestre</t>
  </si>
  <si>
    <t>Abr</t>
  </si>
  <si>
    <t>Mar</t>
  </si>
  <si>
    <t>Feb</t>
  </si>
  <si>
    <t>Ene</t>
  </si>
  <si>
    <t>Dic</t>
  </si>
  <si>
    <t>Nov</t>
  </si>
  <si>
    <t>Oct</t>
  </si>
  <si>
    <t>Sep</t>
  </si>
  <si>
    <t>Ago</t>
  </si>
  <si>
    <t>Jul</t>
  </si>
  <si>
    <t>Jun</t>
  </si>
  <si>
    <t>May</t>
  </si>
  <si>
    <t>dic</t>
  </si>
  <si>
    <t>nov</t>
  </si>
  <si>
    <t>oct</t>
  </si>
  <si>
    <t>sep</t>
  </si>
  <si>
    <t>ago</t>
  </si>
  <si>
    <t>jul</t>
  </si>
  <si>
    <t>jun</t>
  </si>
  <si>
    <t>may</t>
  </si>
  <si>
    <t>abr</t>
  </si>
  <si>
    <t>mar</t>
  </si>
  <si>
    <t>feb</t>
  </si>
  <si>
    <t>ene</t>
  </si>
  <si>
    <t>T1</t>
  </si>
  <si>
    <t>T2</t>
  </si>
  <si>
    <t>T3</t>
  </si>
  <si>
    <t>T4</t>
  </si>
  <si>
    <t>media móvil llegadas</t>
  </si>
  <si>
    <t>Media móvil salidas</t>
  </si>
  <si>
    <t>Media móvil total</t>
  </si>
  <si>
    <t>fecha</t>
  </si>
  <si>
    <t>Pasajeros</t>
  </si>
  <si>
    <t>índice estacional salidas</t>
  </si>
  <si>
    <t>índice estacional llegadas</t>
  </si>
  <si>
    <t>índice estacional total</t>
  </si>
  <si>
    <t>Etiquetas de fila</t>
  </si>
  <si>
    <t>Total general</t>
  </si>
  <si>
    <t>Promedio de índice estacional salidas</t>
  </si>
  <si>
    <t>Promedio de índice estacional llegadas</t>
  </si>
  <si>
    <t>Promedio de índice estacional total</t>
  </si>
  <si>
    <t>SUMA</t>
  </si>
  <si>
    <t>Suma de Media móvil total</t>
  </si>
  <si>
    <t xml:space="preserve">Salidas </t>
  </si>
  <si>
    <t>Total</t>
  </si>
  <si>
    <t>elasticidad</t>
  </si>
  <si>
    <t>Tasa de Crecimiento Anual Compuesta (CAGR):</t>
  </si>
  <si>
    <t>Vinicial (PIB 2004 T1):</t>
  </si>
  <si>
    <t>Vfinal (PIB 2025 T4):</t>
  </si>
  <si>
    <t>t (tiempo)</t>
  </si>
  <si>
    <t>trimestres</t>
  </si>
  <si>
    <t>años</t>
  </si>
  <si>
    <t>r=</t>
  </si>
  <si>
    <t>trimestres + 8 de los años 2020 y 2021</t>
  </si>
  <si>
    <t>1.Escenario Pesimista (Bajo):PIB crece al 1,0%</t>
  </si>
  <si>
    <t>2.Escenario Base (Medio): PIB crece al 1,5%</t>
  </si>
  <si>
    <t>3.Escenario Optimista (Alto): PIB crece al 2,2%</t>
  </si>
  <si>
    <t>i</t>
  </si>
  <si>
    <t>PAX</t>
  </si>
  <si>
    <t>PAX2025</t>
  </si>
  <si>
    <t>MMT1%</t>
  </si>
  <si>
    <t>MMT1.5%</t>
  </si>
  <si>
    <t>MMT2.2%</t>
  </si>
  <si>
    <t>TAM</t>
  </si>
  <si>
    <t>DMT1%</t>
  </si>
  <si>
    <t>DMT1.5%</t>
  </si>
  <si>
    <t>DMT2.2%</t>
  </si>
  <si>
    <t>HDP1%</t>
  </si>
  <si>
    <t>HDP1.5%</t>
  </si>
  <si>
    <t>HDP2.2%</t>
  </si>
  <si>
    <t>Operaciones</t>
  </si>
  <si>
    <t>Columna1</t>
  </si>
  <si>
    <t>( no hay datos más antiguos)</t>
  </si>
  <si>
    <t>Supongamos una capacidad de 100</t>
  </si>
  <si>
    <t>Supongamos un load factor de 85%</t>
  </si>
  <si>
    <t>PIB 1%</t>
  </si>
  <si>
    <t>PIB 1.5%</t>
  </si>
  <si>
    <t>PIB 2.2%</t>
  </si>
  <si>
    <t>operaciones/hora</t>
  </si>
  <si>
    <t>En un aeropuerto se pueden gestionar 40-45 salidas/llegadas a la hora</t>
  </si>
  <si>
    <t>Nº pistas</t>
  </si>
  <si>
    <t>Para cualquier situación nos vale con una pista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</si>
</sst>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);\(#,##0\)"/>
    <numFmt numFmtId="165" formatCode="0.0%"/>
    <numFmt numFmtId="166" formatCode="0.0"/>
    <numFmt numFmtId="167" formatCode="0.000"/>
  </numFmts>
  <fonts count="15" x14ac:knownFonts="1">
    <font>
      <sz val="10"/>
      <color rgb="FF000000"/>
      <name val="Arial"/>
    </font>
    <font>
      <sz val="8"/>
      <color rgb="FF35383A"/>
      <name val="Arial"/>
    </font>
    <font>
      <b/>
      <sz val="9"/>
      <color rgb="FF1A2732"/>
      <name val="Arial"/>
    </font>
    <font>
      <sz val="8"/>
      <color rgb="FF000000"/>
      <name val="Arial"/>
    </font>
    <font>
      <sz val="8"/>
      <color rgb="FF000000"/>
      <name val="Consolas"/>
      <charset val="1"/>
    </font>
    <font>
      <sz val="10"/>
      <color rgb="FF000000"/>
      <name val="Arial"/>
    </font>
    <font>
      <sz val="8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35383A"/>
      <name val="Arial"/>
      <family val="2"/>
    </font>
    <font>
      <b/>
      <sz val="12"/>
      <color rgb="FF000000"/>
      <name val="Arial"/>
      <family val="2"/>
    </font>
    <font>
      <b/>
      <sz val="12"/>
      <color rgb="FF35383A"/>
      <name val="Arial"/>
      <family val="2"/>
    </font>
    <font>
      <sz val="8"/>
      <color rgb="FF6A6A6A"/>
      <name val="Open Sans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ABABAB"/>
      </bottom>
      <diagonal/>
    </border>
    <border>
      <left/>
      <right/>
      <top/>
      <bottom style="thin">
        <color rgb="FFEBEB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rgb="FFEBEBEB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7" fillId="0" borderId="0"/>
  </cellStyleXfs>
  <cellXfs count="52">
    <xf numFmtId="0" fontId="0" fillId="0" borderId="0" xfId="0"/>
    <xf numFmtId="0" fontId="2" fillId="0" borderId="0" xfId="0" applyFont="1" applyAlignment="1">
      <alignment vertical="top"/>
    </xf>
    <xf numFmtId="0" fontId="1" fillId="2" borderId="2" xfId="0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right" vertical="top"/>
    </xf>
    <xf numFmtId="165" fontId="1" fillId="2" borderId="2" xfId="0" applyNumberFormat="1" applyFont="1" applyFill="1" applyBorder="1" applyAlignment="1">
      <alignment horizontal="right" vertical="top"/>
    </xf>
    <xf numFmtId="37" fontId="1" fillId="2" borderId="2" xfId="0" applyNumberFormat="1" applyFont="1" applyFill="1" applyBorder="1" applyAlignment="1">
      <alignment horizontal="right" vertical="top"/>
    </xf>
    <xf numFmtId="17" fontId="1" fillId="2" borderId="2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wrapText="1"/>
    </xf>
    <xf numFmtId="164" fontId="3" fillId="0" borderId="0" xfId="0" applyNumberFormat="1" applyFont="1"/>
    <xf numFmtId="165" fontId="3" fillId="0" borderId="0" xfId="0" applyNumberFormat="1" applyFont="1"/>
    <xf numFmtId="165" fontId="4" fillId="0" borderId="0" xfId="0" applyNumberFormat="1" applyFont="1"/>
    <xf numFmtId="0" fontId="1" fillId="2" borderId="1" xfId="0" applyFont="1" applyFill="1" applyBorder="1" applyAlignment="1">
      <alignment horizontal="center" wrapText="1"/>
    </xf>
    <xf numFmtId="165" fontId="0" fillId="0" borderId="0" xfId="1" applyNumberFormat="1" applyFont="1"/>
    <xf numFmtId="165" fontId="0" fillId="0" borderId="0" xfId="0" applyNumberFormat="1"/>
    <xf numFmtId="0" fontId="0" fillId="0" borderId="3" xfId="0" applyBorder="1"/>
    <xf numFmtId="0" fontId="1" fillId="2" borderId="0" xfId="0" applyFont="1" applyFill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7" fillId="0" borderId="0" xfId="0" applyFont="1"/>
    <xf numFmtId="166" fontId="0" fillId="0" borderId="0" xfId="0" applyNumberFormat="1"/>
    <xf numFmtId="1" fontId="0" fillId="0" borderId="0" xfId="0" applyNumberFormat="1"/>
    <xf numFmtId="0" fontId="0" fillId="4" borderId="0" xfId="0" applyFill="1"/>
    <xf numFmtId="0" fontId="7" fillId="4" borderId="0" xfId="0" applyFont="1" applyFill="1"/>
    <xf numFmtId="0" fontId="8" fillId="0" borderId="0" xfId="0" applyFont="1"/>
    <xf numFmtId="9" fontId="0" fillId="0" borderId="0" xfId="1" applyFont="1"/>
    <xf numFmtId="37" fontId="0" fillId="0" borderId="0" xfId="0" applyNumberFormat="1"/>
    <xf numFmtId="3" fontId="0" fillId="0" borderId="0" xfId="0" applyNumberFormat="1"/>
    <xf numFmtId="0" fontId="9" fillId="3" borderId="4" xfId="0" applyFont="1" applyFill="1" applyBorder="1"/>
    <xf numFmtId="0" fontId="9" fillId="3" borderId="0" xfId="0" applyFont="1" applyFill="1"/>
    <xf numFmtId="167" fontId="0" fillId="0" borderId="0" xfId="0" applyNumberFormat="1"/>
    <xf numFmtId="1" fontId="0" fillId="4" borderId="0" xfId="0" applyNumberFormat="1" applyFill="1"/>
    <xf numFmtId="0" fontId="7" fillId="0" borderId="3" xfId="0" applyFont="1" applyBorder="1"/>
    <xf numFmtId="37" fontId="10" fillId="2" borderId="3" xfId="0" applyNumberFormat="1" applyFont="1" applyFill="1" applyBorder="1" applyAlignment="1">
      <alignment horizontal="right" vertical="top"/>
    </xf>
    <xf numFmtId="164" fontId="7" fillId="0" borderId="3" xfId="0" applyNumberFormat="1" applyFont="1" applyBorder="1"/>
    <xf numFmtId="0" fontId="7" fillId="5" borderId="3" xfId="0" applyFont="1" applyFill="1" applyBorder="1"/>
    <xf numFmtId="0" fontId="11" fillId="5" borderId="3" xfId="0" applyFont="1" applyFill="1" applyBorder="1"/>
    <xf numFmtId="0" fontId="12" fillId="5" borderId="3" xfId="0" applyFont="1" applyFill="1" applyBorder="1" applyAlignment="1">
      <alignment horizontal="right" wrapText="1"/>
    </xf>
    <xf numFmtId="37" fontId="13" fillId="2" borderId="2" xfId="2" applyNumberFormat="1" applyFont="1" applyFill="1" applyBorder="1" applyAlignment="1">
      <alignment horizontal="right" vertical="top"/>
    </xf>
    <xf numFmtId="37" fontId="13" fillId="2" borderId="0" xfId="2" applyNumberFormat="1" applyFont="1" applyFill="1" applyAlignment="1">
      <alignment horizontal="right" vertical="top"/>
    </xf>
    <xf numFmtId="37" fontId="13" fillId="6" borderId="0" xfId="2" applyNumberFormat="1" applyFont="1" applyFill="1" applyAlignment="1">
      <alignment horizontal="right" vertical="top"/>
    </xf>
    <xf numFmtId="37" fontId="13" fillId="6" borderId="2" xfId="2" applyNumberFormat="1" applyFont="1" applyFill="1" applyBorder="1" applyAlignment="1">
      <alignment horizontal="right" vertical="top"/>
    </xf>
    <xf numFmtId="1" fontId="0" fillId="0" borderId="3" xfId="0" applyNumberFormat="1" applyBorder="1"/>
    <xf numFmtId="37" fontId="13" fillId="2" borderId="5" xfId="2" applyNumberFormat="1" applyFont="1" applyFill="1" applyBorder="1" applyAlignment="1">
      <alignment horizontal="right" vertical="top"/>
    </xf>
    <xf numFmtId="37" fontId="13" fillId="6" borderId="6" xfId="2" applyNumberFormat="1" applyFont="1" applyFill="1" applyBorder="1" applyAlignment="1">
      <alignment horizontal="right" vertical="top"/>
    </xf>
    <xf numFmtId="37" fontId="13" fillId="6" borderId="7" xfId="2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1" fillId="2" borderId="1" xfId="0" applyFont="1" applyFill="1" applyBorder="1" applyAlignment="1">
      <alignment horizontal="right" wrapText="1"/>
    </xf>
    <xf numFmtId="0" fontId="8" fillId="0" borderId="0" xfId="0" applyFont="1"/>
    <xf numFmtId="0" fontId="0" fillId="0" borderId="0" xfId="0"/>
    <xf numFmtId="0" fontId="9" fillId="3" borderId="4" xfId="0" applyFont="1" applyFill="1" applyBorder="1" applyAlignment="1">
      <alignment horizontal="center" vertical="top"/>
    </xf>
  </cellXfs>
  <cellStyles count="3">
    <cellStyle name="Normal" xfId="0" builtinId="0"/>
    <cellStyle name="Normal 2" xfId="2" xr:uid="{12686D08-CB3B-4B5B-9B62-7D5EF9F2F3EC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001014864358873E-2"/>
          <c:y val="3.2189931122126182E-2"/>
          <c:w val="0.9239453366507735"/>
          <c:h val="0.817907935237212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'Comparativa mes año anterior'!$B$1:$B$4</c:f>
              <c:strCache>
                <c:ptCount val="4"/>
                <c:pt idx="0">
                  <c:v>Comparativa mes año anterior</c:v>
                </c:pt>
                <c:pt idx="2">
                  <c:v>Salidas</c:v>
                </c:pt>
                <c:pt idx="3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'Comparativa mes año anterior'!$A$5:$A$272</c:f>
              <c:strCache>
                <c:ptCount val="268"/>
                <c:pt idx="0">
                  <c:v>Abr 26</c:v>
                </c:pt>
                <c:pt idx="1">
                  <c:v>Mar 26</c:v>
                </c:pt>
                <c:pt idx="2">
                  <c:v>Feb 26</c:v>
                </c:pt>
                <c:pt idx="3">
                  <c:v>Ene 26</c:v>
                </c:pt>
                <c:pt idx="4">
                  <c:v>Dic 25</c:v>
                </c:pt>
                <c:pt idx="5">
                  <c:v>Nov 25</c:v>
                </c:pt>
                <c:pt idx="6">
                  <c:v>Oct 25</c:v>
                </c:pt>
                <c:pt idx="7">
                  <c:v>Sep 25</c:v>
                </c:pt>
                <c:pt idx="8">
                  <c:v>Ago 25</c:v>
                </c:pt>
                <c:pt idx="9">
                  <c:v>Jul 25</c:v>
                </c:pt>
                <c:pt idx="10">
                  <c:v>Jun 25</c:v>
                </c:pt>
                <c:pt idx="11">
                  <c:v>May 25</c:v>
                </c:pt>
                <c:pt idx="12">
                  <c:v>Abr 25</c:v>
                </c:pt>
                <c:pt idx="13">
                  <c:v>Mar 25</c:v>
                </c:pt>
                <c:pt idx="14">
                  <c:v>Feb 25</c:v>
                </c:pt>
                <c:pt idx="15">
                  <c:v>Ene 25</c:v>
                </c:pt>
                <c:pt idx="16">
                  <c:v>Dic 24</c:v>
                </c:pt>
                <c:pt idx="17">
                  <c:v>Nov 24</c:v>
                </c:pt>
                <c:pt idx="18">
                  <c:v>Oct 24</c:v>
                </c:pt>
                <c:pt idx="19">
                  <c:v>Sep 24</c:v>
                </c:pt>
                <c:pt idx="20">
                  <c:v>Ago 24</c:v>
                </c:pt>
                <c:pt idx="21">
                  <c:v>Jul 24</c:v>
                </c:pt>
                <c:pt idx="22">
                  <c:v>Jun 24</c:v>
                </c:pt>
                <c:pt idx="23">
                  <c:v>May 24</c:v>
                </c:pt>
                <c:pt idx="24">
                  <c:v>Abr 24</c:v>
                </c:pt>
                <c:pt idx="25">
                  <c:v>Mar 24</c:v>
                </c:pt>
                <c:pt idx="26">
                  <c:v>Feb 24</c:v>
                </c:pt>
                <c:pt idx="27">
                  <c:v>Ene 24</c:v>
                </c:pt>
                <c:pt idx="28">
                  <c:v>Dic 23</c:v>
                </c:pt>
                <c:pt idx="29">
                  <c:v>Nov 23</c:v>
                </c:pt>
                <c:pt idx="30">
                  <c:v>Oct 23</c:v>
                </c:pt>
                <c:pt idx="31">
                  <c:v>Sep 23</c:v>
                </c:pt>
                <c:pt idx="32">
                  <c:v>Ago 23</c:v>
                </c:pt>
                <c:pt idx="33">
                  <c:v>Jul 23</c:v>
                </c:pt>
                <c:pt idx="34">
                  <c:v>Jun 23</c:v>
                </c:pt>
                <c:pt idx="35">
                  <c:v>May 23</c:v>
                </c:pt>
                <c:pt idx="36">
                  <c:v>Abr 23</c:v>
                </c:pt>
                <c:pt idx="37">
                  <c:v>Mar 23</c:v>
                </c:pt>
                <c:pt idx="38">
                  <c:v>Feb 23</c:v>
                </c:pt>
                <c:pt idx="39">
                  <c:v>Ene 23</c:v>
                </c:pt>
                <c:pt idx="40">
                  <c:v>Dic 22</c:v>
                </c:pt>
                <c:pt idx="41">
                  <c:v>Nov 22</c:v>
                </c:pt>
                <c:pt idx="42">
                  <c:v>Oct 22</c:v>
                </c:pt>
                <c:pt idx="43">
                  <c:v>Sep 22</c:v>
                </c:pt>
                <c:pt idx="44">
                  <c:v>Ago 22</c:v>
                </c:pt>
                <c:pt idx="45">
                  <c:v>Jul 22</c:v>
                </c:pt>
                <c:pt idx="46">
                  <c:v>Jun 22</c:v>
                </c:pt>
                <c:pt idx="47">
                  <c:v>May 22</c:v>
                </c:pt>
                <c:pt idx="48">
                  <c:v>Abr 22</c:v>
                </c:pt>
                <c:pt idx="49">
                  <c:v>Mar 22</c:v>
                </c:pt>
                <c:pt idx="50">
                  <c:v>Feb 22</c:v>
                </c:pt>
                <c:pt idx="51">
                  <c:v>Ene 22</c:v>
                </c:pt>
                <c:pt idx="52">
                  <c:v>Dic 21</c:v>
                </c:pt>
                <c:pt idx="53">
                  <c:v>Nov 21</c:v>
                </c:pt>
                <c:pt idx="54">
                  <c:v>Oct 21</c:v>
                </c:pt>
                <c:pt idx="55">
                  <c:v>Sep 21</c:v>
                </c:pt>
                <c:pt idx="56">
                  <c:v>Ago 21</c:v>
                </c:pt>
                <c:pt idx="57">
                  <c:v>Jul 21</c:v>
                </c:pt>
                <c:pt idx="58">
                  <c:v>Jun 21</c:v>
                </c:pt>
                <c:pt idx="59">
                  <c:v>May 21</c:v>
                </c:pt>
                <c:pt idx="60">
                  <c:v>Abr 21</c:v>
                </c:pt>
                <c:pt idx="61">
                  <c:v>Mar 21</c:v>
                </c:pt>
                <c:pt idx="62">
                  <c:v>Feb 21</c:v>
                </c:pt>
                <c:pt idx="63">
                  <c:v>Ene 21</c:v>
                </c:pt>
                <c:pt idx="64">
                  <c:v>dic-20</c:v>
                </c:pt>
                <c:pt idx="65">
                  <c:v>nov-20</c:v>
                </c:pt>
                <c:pt idx="66">
                  <c:v>oct-20</c:v>
                </c:pt>
                <c:pt idx="67">
                  <c:v>sep-20</c:v>
                </c:pt>
                <c:pt idx="68">
                  <c:v>ago-20</c:v>
                </c:pt>
                <c:pt idx="69">
                  <c:v>jul-20</c:v>
                </c:pt>
                <c:pt idx="70">
                  <c:v>jun-20</c:v>
                </c:pt>
                <c:pt idx="71">
                  <c:v>may-20</c:v>
                </c:pt>
                <c:pt idx="72">
                  <c:v>abr-20</c:v>
                </c:pt>
                <c:pt idx="73">
                  <c:v>mar-20</c:v>
                </c:pt>
                <c:pt idx="74">
                  <c:v>feb-20</c:v>
                </c:pt>
                <c:pt idx="75">
                  <c:v>ene-20</c:v>
                </c:pt>
                <c:pt idx="76">
                  <c:v>dic-19</c:v>
                </c:pt>
                <c:pt idx="77">
                  <c:v>nov-19</c:v>
                </c:pt>
                <c:pt idx="78">
                  <c:v>oct-19</c:v>
                </c:pt>
                <c:pt idx="79">
                  <c:v>sep-19</c:v>
                </c:pt>
                <c:pt idx="80">
                  <c:v>ago-19</c:v>
                </c:pt>
                <c:pt idx="81">
                  <c:v>jul-19</c:v>
                </c:pt>
                <c:pt idx="82">
                  <c:v>jun-19</c:v>
                </c:pt>
                <c:pt idx="83">
                  <c:v>may-19</c:v>
                </c:pt>
                <c:pt idx="84">
                  <c:v>abr-19</c:v>
                </c:pt>
                <c:pt idx="85">
                  <c:v>mar-19</c:v>
                </c:pt>
                <c:pt idx="86">
                  <c:v>feb-19</c:v>
                </c:pt>
                <c:pt idx="87">
                  <c:v>ene-19</c:v>
                </c:pt>
                <c:pt idx="88">
                  <c:v>dic-18</c:v>
                </c:pt>
                <c:pt idx="89">
                  <c:v>nov-18</c:v>
                </c:pt>
                <c:pt idx="90">
                  <c:v>oct-18</c:v>
                </c:pt>
                <c:pt idx="91">
                  <c:v>sep-18</c:v>
                </c:pt>
                <c:pt idx="92">
                  <c:v>ago-18</c:v>
                </c:pt>
                <c:pt idx="93">
                  <c:v>jul-18</c:v>
                </c:pt>
                <c:pt idx="94">
                  <c:v>jun-18</c:v>
                </c:pt>
                <c:pt idx="95">
                  <c:v>may-18</c:v>
                </c:pt>
                <c:pt idx="96">
                  <c:v>abr-18</c:v>
                </c:pt>
                <c:pt idx="97">
                  <c:v>mar-18</c:v>
                </c:pt>
                <c:pt idx="98">
                  <c:v>feb-18</c:v>
                </c:pt>
                <c:pt idx="99">
                  <c:v>ene-18</c:v>
                </c:pt>
                <c:pt idx="100">
                  <c:v>dic-17</c:v>
                </c:pt>
                <c:pt idx="101">
                  <c:v>nov-17</c:v>
                </c:pt>
                <c:pt idx="102">
                  <c:v>oct-17</c:v>
                </c:pt>
                <c:pt idx="103">
                  <c:v>sep-17</c:v>
                </c:pt>
                <c:pt idx="104">
                  <c:v>ago-17</c:v>
                </c:pt>
                <c:pt idx="105">
                  <c:v>jul-17</c:v>
                </c:pt>
                <c:pt idx="106">
                  <c:v>jun-17</c:v>
                </c:pt>
                <c:pt idx="107">
                  <c:v>may-17</c:v>
                </c:pt>
                <c:pt idx="108">
                  <c:v>abr-17</c:v>
                </c:pt>
                <c:pt idx="109">
                  <c:v>mar-17</c:v>
                </c:pt>
                <c:pt idx="110">
                  <c:v>feb-17</c:v>
                </c:pt>
                <c:pt idx="111">
                  <c:v>ene-17</c:v>
                </c:pt>
                <c:pt idx="112">
                  <c:v>dic-16</c:v>
                </c:pt>
                <c:pt idx="113">
                  <c:v>nov-16</c:v>
                </c:pt>
                <c:pt idx="114">
                  <c:v>oct-16</c:v>
                </c:pt>
                <c:pt idx="115">
                  <c:v>sep-16</c:v>
                </c:pt>
                <c:pt idx="116">
                  <c:v>ago-16</c:v>
                </c:pt>
                <c:pt idx="117">
                  <c:v>jul-16</c:v>
                </c:pt>
                <c:pt idx="118">
                  <c:v>jun-16</c:v>
                </c:pt>
                <c:pt idx="119">
                  <c:v>may-16</c:v>
                </c:pt>
                <c:pt idx="120">
                  <c:v>abr-16</c:v>
                </c:pt>
                <c:pt idx="121">
                  <c:v>mar-16</c:v>
                </c:pt>
                <c:pt idx="122">
                  <c:v>feb-16</c:v>
                </c:pt>
                <c:pt idx="123">
                  <c:v>ene-16</c:v>
                </c:pt>
                <c:pt idx="124">
                  <c:v>dic-15</c:v>
                </c:pt>
                <c:pt idx="125">
                  <c:v>nov-15</c:v>
                </c:pt>
                <c:pt idx="126">
                  <c:v>oct-15</c:v>
                </c:pt>
                <c:pt idx="127">
                  <c:v>sep-15</c:v>
                </c:pt>
                <c:pt idx="128">
                  <c:v>ago-15</c:v>
                </c:pt>
                <c:pt idx="129">
                  <c:v>jul-15</c:v>
                </c:pt>
                <c:pt idx="130">
                  <c:v>jun-15</c:v>
                </c:pt>
                <c:pt idx="131">
                  <c:v>may-15</c:v>
                </c:pt>
                <c:pt idx="132">
                  <c:v>abr-15</c:v>
                </c:pt>
                <c:pt idx="133">
                  <c:v>mar-15</c:v>
                </c:pt>
                <c:pt idx="134">
                  <c:v>feb-15</c:v>
                </c:pt>
                <c:pt idx="135">
                  <c:v>ene-15</c:v>
                </c:pt>
                <c:pt idx="136">
                  <c:v>dic-14</c:v>
                </c:pt>
                <c:pt idx="137">
                  <c:v>nov-14</c:v>
                </c:pt>
                <c:pt idx="138">
                  <c:v>oct-14</c:v>
                </c:pt>
                <c:pt idx="139">
                  <c:v>sep-14</c:v>
                </c:pt>
                <c:pt idx="140">
                  <c:v>ago-14</c:v>
                </c:pt>
                <c:pt idx="141">
                  <c:v>jul-14</c:v>
                </c:pt>
                <c:pt idx="142">
                  <c:v>jun-14</c:v>
                </c:pt>
                <c:pt idx="143">
                  <c:v>may-14</c:v>
                </c:pt>
                <c:pt idx="144">
                  <c:v>abr-14</c:v>
                </c:pt>
                <c:pt idx="145">
                  <c:v>mar-14</c:v>
                </c:pt>
                <c:pt idx="146">
                  <c:v>feb-14</c:v>
                </c:pt>
                <c:pt idx="147">
                  <c:v>ene-14</c:v>
                </c:pt>
                <c:pt idx="148">
                  <c:v>dic-13</c:v>
                </c:pt>
                <c:pt idx="149">
                  <c:v>nov-13</c:v>
                </c:pt>
                <c:pt idx="150">
                  <c:v>oct-13</c:v>
                </c:pt>
                <c:pt idx="151">
                  <c:v>sep-13</c:v>
                </c:pt>
                <c:pt idx="152">
                  <c:v>ago-13</c:v>
                </c:pt>
                <c:pt idx="153">
                  <c:v>jul-13</c:v>
                </c:pt>
                <c:pt idx="154">
                  <c:v>jun-13</c:v>
                </c:pt>
                <c:pt idx="155">
                  <c:v>may-13</c:v>
                </c:pt>
                <c:pt idx="156">
                  <c:v>abr-13</c:v>
                </c:pt>
                <c:pt idx="157">
                  <c:v>mar-13</c:v>
                </c:pt>
                <c:pt idx="158">
                  <c:v>feb-13</c:v>
                </c:pt>
                <c:pt idx="159">
                  <c:v>ene-13</c:v>
                </c:pt>
                <c:pt idx="160">
                  <c:v>dic-12</c:v>
                </c:pt>
                <c:pt idx="161">
                  <c:v>nov-12</c:v>
                </c:pt>
                <c:pt idx="162">
                  <c:v>oct-12</c:v>
                </c:pt>
                <c:pt idx="163">
                  <c:v>sep-12</c:v>
                </c:pt>
                <c:pt idx="164">
                  <c:v>ago-12</c:v>
                </c:pt>
                <c:pt idx="165">
                  <c:v>jul-12</c:v>
                </c:pt>
                <c:pt idx="166">
                  <c:v>jun-12</c:v>
                </c:pt>
                <c:pt idx="167">
                  <c:v>may-12</c:v>
                </c:pt>
                <c:pt idx="168">
                  <c:v>abr-12</c:v>
                </c:pt>
                <c:pt idx="169">
                  <c:v>mar-12</c:v>
                </c:pt>
                <c:pt idx="170">
                  <c:v>feb-12</c:v>
                </c:pt>
                <c:pt idx="171">
                  <c:v>ene-12</c:v>
                </c:pt>
                <c:pt idx="172">
                  <c:v>dic-11</c:v>
                </c:pt>
                <c:pt idx="173">
                  <c:v>nov-11</c:v>
                </c:pt>
                <c:pt idx="174">
                  <c:v>oct-11</c:v>
                </c:pt>
                <c:pt idx="175">
                  <c:v>sep-11</c:v>
                </c:pt>
                <c:pt idx="176">
                  <c:v>ago-11</c:v>
                </c:pt>
                <c:pt idx="177">
                  <c:v>jul-11</c:v>
                </c:pt>
                <c:pt idx="178">
                  <c:v>jun-11</c:v>
                </c:pt>
                <c:pt idx="179">
                  <c:v>may-11</c:v>
                </c:pt>
                <c:pt idx="180">
                  <c:v>abr-11</c:v>
                </c:pt>
                <c:pt idx="181">
                  <c:v>mar-11</c:v>
                </c:pt>
                <c:pt idx="182">
                  <c:v>feb-11</c:v>
                </c:pt>
                <c:pt idx="183">
                  <c:v>ene-11</c:v>
                </c:pt>
                <c:pt idx="184">
                  <c:v>dic-10</c:v>
                </c:pt>
                <c:pt idx="185">
                  <c:v>nov-10</c:v>
                </c:pt>
                <c:pt idx="186">
                  <c:v>oct-10</c:v>
                </c:pt>
                <c:pt idx="187">
                  <c:v>sep-10</c:v>
                </c:pt>
                <c:pt idx="188">
                  <c:v>ago-10</c:v>
                </c:pt>
                <c:pt idx="189">
                  <c:v>jul-10</c:v>
                </c:pt>
                <c:pt idx="190">
                  <c:v>jun-10</c:v>
                </c:pt>
                <c:pt idx="191">
                  <c:v>may-10</c:v>
                </c:pt>
                <c:pt idx="192">
                  <c:v>abr-10</c:v>
                </c:pt>
                <c:pt idx="193">
                  <c:v>mar-10</c:v>
                </c:pt>
                <c:pt idx="194">
                  <c:v>feb-10</c:v>
                </c:pt>
                <c:pt idx="195">
                  <c:v>ene-10</c:v>
                </c:pt>
                <c:pt idx="196">
                  <c:v>dic-09</c:v>
                </c:pt>
                <c:pt idx="197">
                  <c:v>nov-09</c:v>
                </c:pt>
                <c:pt idx="198">
                  <c:v>oct-09</c:v>
                </c:pt>
                <c:pt idx="199">
                  <c:v>sep-09</c:v>
                </c:pt>
                <c:pt idx="200">
                  <c:v>ago-09</c:v>
                </c:pt>
                <c:pt idx="201">
                  <c:v>jul-09</c:v>
                </c:pt>
                <c:pt idx="202">
                  <c:v>jun-09</c:v>
                </c:pt>
                <c:pt idx="203">
                  <c:v>may-09</c:v>
                </c:pt>
                <c:pt idx="204">
                  <c:v>abr-09</c:v>
                </c:pt>
                <c:pt idx="205">
                  <c:v>mar-09</c:v>
                </c:pt>
                <c:pt idx="206">
                  <c:v>feb-09</c:v>
                </c:pt>
                <c:pt idx="207">
                  <c:v>ene-09</c:v>
                </c:pt>
                <c:pt idx="208">
                  <c:v>dic-08</c:v>
                </c:pt>
                <c:pt idx="209">
                  <c:v>nov-08</c:v>
                </c:pt>
                <c:pt idx="210">
                  <c:v>oct-08</c:v>
                </c:pt>
                <c:pt idx="211">
                  <c:v>sep-08</c:v>
                </c:pt>
                <c:pt idx="212">
                  <c:v>ago-08</c:v>
                </c:pt>
                <c:pt idx="213">
                  <c:v>jul-08</c:v>
                </c:pt>
                <c:pt idx="214">
                  <c:v>jun-08</c:v>
                </c:pt>
                <c:pt idx="215">
                  <c:v>may-08</c:v>
                </c:pt>
                <c:pt idx="216">
                  <c:v>abr-08</c:v>
                </c:pt>
                <c:pt idx="217">
                  <c:v>mar-08</c:v>
                </c:pt>
                <c:pt idx="218">
                  <c:v>feb-08</c:v>
                </c:pt>
                <c:pt idx="219">
                  <c:v>ene-08</c:v>
                </c:pt>
                <c:pt idx="220">
                  <c:v>dic-07</c:v>
                </c:pt>
                <c:pt idx="221">
                  <c:v>nov-07</c:v>
                </c:pt>
                <c:pt idx="222">
                  <c:v>oct-07</c:v>
                </c:pt>
                <c:pt idx="223">
                  <c:v>sep-07</c:v>
                </c:pt>
                <c:pt idx="224">
                  <c:v>ago-07</c:v>
                </c:pt>
                <c:pt idx="225">
                  <c:v>jul-07</c:v>
                </c:pt>
                <c:pt idx="226">
                  <c:v>jun-07</c:v>
                </c:pt>
                <c:pt idx="227">
                  <c:v>may-07</c:v>
                </c:pt>
                <c:pt idx="228">
                  <c:v>abr-07</c:v>
                </c:pt>
                <c:pt idx="229">
                  <c:v>mar-07</c:v>
                </c:pt>
                <c:pt idx="230">
                  <c:v>feb-07</c:v>
                </c:pt>
                <c:pt idx="231">
                  <c:v>ene-07</c:v>
                </c:pt>
                <c:pt idx="232">
                  <c:v>dic-06</c:v>
                </c:pt>
                <c:pt idx="233">
                  <c:v>nov-06</c:v>
                </c:pt>
                <c:pt idx="234">
                  <c:v>oct-06</c:v>
                </c:pt>
                <c:pt idx="235">
                  <c:v>sep-06</c:v>
                </c:pt>
                <c:pt idx="236">
                  <c:v>ago-06</c:v>
                </c:pt>
                <c:pt idx="237">
                  <c:v>jul-06</c:v>
                </c:pt>
                <c:pt idx="238">
                  <c:v>jun-06</c:v>
                </c:pt>
                <c:pt idx="239">
                  <c:v>may-06</c:v>
                </c:pt>
                <c:pt idx="240">
                  <c:v>abr-06</c:v>
                </c:pt>
                <c:pt idx="241">
                  <c:v>mar-06</c:v>
                </c:pt>
                <c:pt idx="242">
                  <c:v>feb-06</c:v>
                </c:pt>
                <c:pt idx="243">
                  <c:v>ene-06</c:v>
                </c:pt>
                <c:pt idx="244">
                  <c:v>dic-05</c:v>
                </c:pt>
                <c:pt idx="245">
                  <c:v>nov-05</c:v>
                </c:pt>
                <c:pt idx="246">
                  <c:v>oct-05</c:v>
                </c:pt>
                <c:pt idx="247">
                  <c:v>sep-05</c:v>
                </c:pt>
                <c:pt idx="248">
                  <c:v>ago-05</c:v>
                </c:pt>
                <c:pt idx="249">
                  <c:v>jul-05</c:v>
                </c:pt>
                <c:pt idx="250">
                  <c:v>jun-05</c:v>
                </c:pt>
                <c:pt idx="251">
                  <c:v>may-05</c:v>
                </c:pt>
                <c:pt idx="252">
                  <c:v>abr-05</c:v>
                </c:pt>
                <c:pt idx="253">
                  <c:v>mar-05</c:v>
                </c:pt>
                <c:pt idx="254">
                  <c:v>feb-05</c:v>
                </c:pt>
                <c:pt idx="255">
                  <c:v>ene-05</c:v>
                </c:pt>
                <c:pt idx="256">
                  <c:v>dic-04</c:v>
                </c:pt>
                <c:pt idx="257">
                  <c:v>nov-04</c:v>
                </c:pt>
                <c:pt idx="258">
                  <c:v>oct-04</c:v>
                </c:pt>
                <c:pt idx="259">
                  <c:v>sep-04</c:v>
                </c:pt>
                <c:pt idx="260">
                  <c:v>ago-04</c:v>
                </c:pt>
                <c:pt idx="261">
                  <c:v>jul-04</c:v>
                </c:pt>
                <c:pt idx="262">
                  <c:v>jun-04</c:v>
                </c:pt>
                <c:pt idx="263">
                  <c:v>may-04</c:v>
                </c:pt>
                <c:pt idx="264">
                  <c:v>abr-04</c:v>
                </c:pt>
                <c:pt idx="265">
                  <c:v>mar-04</c:v>
                </c:pt>
                <c:pt idx="266">
                  <c:v>feb-04</c:v>
                </c:pt>
                <c:pt idx="267">
                  <c:v>ene-04</c:v>
                </c:pt>
              </c:strCache>
            </c:strRef>
          </c:cat>
          <c:val>
            <c:numRef>
              <c:f>'Comparativa mes año anterior'!$B$5:$B$272</c:f>
              <c:numCache>
                <c:formatCode>#,##0_);\(#,##0\)</c:formatCode>
                <c:ptCount val="268"/>
                <c:pt idx="0">
                  <c:v>31159</c:v>
                </c:pt>
                <c:pt idx="1">
                  <c:v>27450</c:v>
                </c:pt>
                <c:pt idx="2">
                  <c:v>21719</c:v>
                </c:pt>
                <c:pt idx="3">
                  <c:v>23695</c:v>
                </c:pt>
                <c:pt idx="4">
                  <c:v>25076</c:v>
                </c:pt>
                <c:pt idx="5">
                  <c:v>24038</c:v>
                </c:pt>
                <c:pt idx="6">
                  <c:v>33094</c:v>
                </c:pt>
                <c:pt idx="7">
                  <c:v>30295</c:v>
                </c:pt>
                <c:pt idx="8">
                  <c:v>36790</c:v>
                </c:pt>
                <c:pt idx="9">
                  <c:v>36520</c:v>
                </c:pt>
                <c:pt idx="10">
                  <c:v>31883</c:v>
                </c:pt>
                <c:pt idx="11">
                  <c:v>32119</c:v>
                </c:pt>
                <c:pt idx="12">
                  <c:v>34373</c:v>
                </c:pt>
                <c:pt idx="13">
                  <c:v>26445</c:v>
                </c:pt>
                <c:pt idx="14">
                  <c:v>21807</c:v>
                </c:pt>
                <c:pt idx="15">
                  <c:v>22859</c:v>
                </c:pt>
                <c:pt idx="16">
                  <c:v>26713</c:v>
                </c:pt>
                <c:pt idx="17">
                  <c:v>24075</c:v>
                </c:pt>
                <c:pt idx="18">
                  <c:v>30632</c:v>
                </c:pt>
                <c:pt idx="19">
                  <c:v>31254</c:v>
                </c:pt>
                <c:pt idx="20">
                  <c:v>35186</c:v>
                </c:pt>
                <c:pt idx="21">
                  <c:v>34007</c:v>
                </c:pt>
                <c:pt idx="22">
                  <c:v>33781</c:v>
                </c:pt>
                <c:pt idx="23">
                  <c:v>30385</c:v>
                </c:pt>
                <c:pt idx="24">
                  <c:v>29458</c:v>
                </c:pt>
                <c:pt idx="25">
                  <c:v>27621</c:v>
                </c:pt>
                <c:pt idx="26">
                  <c:v>20941</c:v>
                </c:pt>
                <c:pt idx="27">
                  <c:v>23338</c:v>
                </c:pt>
                <c:pt idx="28">
                  <c:v>24925</c:v>
                </c:pt>
                <c:pt idx="29">
                  <c:v>20567</c:v>
                </c:pt>
                <c:pt idx="30">
                  <c:v>29371</c:v>
                </c:pt>
                <c:pt idx="31">
                  <c:v>30245</c:v>
                </c:pt>
                <c:pt idx="32">
                  <c:v>36717</c:v>
                </c:pt>
                <c:pt idx="33">
                  <c:v>36009</c:v>
                </c:pt>
                <c:pt idx="34">
                  <c:v>30584</c:v>
                </c:pt>
                <c:pt idx="35">
                  <c:v>27295</c:v>
                </c:pt>
                <c:pt idx="36">
                  <c:v>32288</c:v>
                </c:pt>
                <c:pt idx="37">
                  <c:v>27639</c:v>
                </c:pt>
                <c:pt idx="38">
                  <c:v>22621</c:v>
                </c:pt>
                <c:pt idx="39">
                  <c:v>25886</c:v>
                </c:pt>
                <c:pt idx="40">
                  <c:v>26703</c:v>
                </c:pt>
                <c:pt idx="41">
                  <c:v>22780</c:v>
                </c:pt>
                <c:pt idx="42">
                  <c:v>29313</c:v>
                </c:pt>
                <c:pt idx="43">
                  <c:v>29796</c:v>
                </c:pt>
                <c:pt idx="44">
                  <c:v>36296</c:v>
                </c:pt>
                <c:pt idx="45">
                  <c:v>35141</c:v>
                </c:pt>
                <c:pt idx="46">
                  <c:v>33165</c:v>
                </c:pt>
                <c:pt idx="47">
                  <c:v>25377</c:v>
                </c:pt>
                <c:pt idx="48">
                  <c:v>27046</c:v>
                </c:pt>
                <c:pt idx="49">
                  <c:v>22386</c:v>
                </c:pt>
                <c:pt idx="50">
                  <c:v>14343</c:v>
                </c:pt>
                <c:pt idx="51">
                  <c:v>13844</c:v>
                </c:pt>
                <c:pt idx="52">
                  <c:v>18941</c:v>
                </c:pt>
                <c:pt idx="53">
                  <c:v>17985</c:v>
                </c:pt>
                <c:pt idx="54">
                  <c:v>15294</c:v>
                </c:pt>
                <c:pt idx="55">
                  <c:v>17328</c:v>
                </c:pt>
                <c:pt idx="56">
                  <c:v>24809</c:v>
                </c:pt>
                <c:pt idx="57">
                  <c:v>21330</c:v>
                </c:pt>
                <c:pt idx="58">
                  <c:v>11332</c:v>
                </c:pt>
                <c:pt idx="59">
                  <c:v>4752</c:v>
                </c:pt>
                <c:pt idx="60">
                  <c:v>2872</c:v>
                </c:pt>
                <c:pt idx="61">
                  <c:v>1620</c:v>
                </c:pt>
                <c:pt idx="62">
                  <c:v>717</c:v>
                </c:pt>
                <c:pt idx="63">
                  <c:v>2518</c:v>
                </c:pt>
                <c:pt idx="64">
                  <c:v>3519</c:v>
                </c:pt>
                <c:pt idx="65">
                  <c:v>1289</c:v>
                </c:pt>
                <c:pt idx="66">
                  <c:v>4105</c:v>
                </c:pt>
                <c:pt idx="67">
                  <c:v>7702</c:v>
                </c:pt>
                <c:pt idx="68">
                  <c:v>16485</c:v>
                </c:pt>
                <c:pt idx="69">
                  <c:v>12127</c:v>
                </c:pt>
                <c:pt idx="70">
                  <c:v>353</c:v>
                </c:pt>
                <c:pt idx="71">
                  <c:v>20</c:v>
                </c:pt>
                <c:pt idx="72">
                  <c:v>0</c:v>
                </c:pt>
                <c:pt idx="73">
                  <c:v>7014</c:v>
                </c:pt>
                <c:pt idx="74">
                  <c:v>16111</c:v>
                </c:pt>
                <c:pt idx="75">
                  <c:v>17459</c:v>
                </c:pt>
                <c:pt idx="76">
                  <c:v>13724</c:v>
                </c:pt>
                <c:pt idx="77">
                  <c:v>12572</c:v>
                </c:pt>
                <c:pt idx="78">
                  <c:v>14700</c:v>
                </c:pt>
                <c:pt idx="79">
                  <c:v>17302</c:v>
                </c:pt>
                <c:pt idx="80">
                  <c:v>19108</c:v>
                </c:pt>
                <c:pt idx="81">
                  <c:v>19649</c:v>
                </c:pt>
                <c:pt idx="82">
                  <c:v>16767</c:v>
                </c:pt>
                <c:pt idx="83">
                  <c:v>13142</c:v>
                </c:pt>
                <c:pt idx="84">
                  <c:v>14930</c:v>
                </c:pt>
                <c:pt idx="85">
                  <c:v>11409</c:v>
                </c:pt>
                <c:pt idx="86">
                  <c:v>9620</c:v>
                </c:pt>
                <c:pt idx="87">
                  <c:v>11167</c:v>
                </c:pt>
                <c:pt idx="88">
                  <c:v>16328</c:v>
                </c:pt>
                <c:pt idx="89">
                  <c:v>13971</c:v>
                </c:pt>
                <c:pt idx="90">
                  <c:v>18515</c:v>
                </c:pt>
                <c:pt idx="91">
                  <c:v>25802</c:v>
                </c:pt>
                <c:pt idx="92">
                  <c:v>31972</c:v>
                </c:pt>
                <c:pt idx="93">
                  <c:v>31389</c:v>
                </c:pt>
                <c:pt idx="94">
                  <c:v>24899</c:v>
                </c:pt>
                <c:pt idx="95">
                  <c:v>17510</c:v>
                </c:pt>
                <c:pt idx="96">
                  <c:v>19385</c:v>
                </c:pt>
                <c:pt idx="97">
                  <c:v>18719</c:v>
                </c:pt>
                <c:pt idx="98">
                  <c:v>12755</c:v>
                </c:pt>
                <c:pt idx="99">
                  <c:v>14279</c:v>
                </c:pt>
                <c:pt idx="100">
                  <c:v>14934</c:v>
                </c:pt>
                <c:pt idx="101">
                  <c:v>13072</c:v>
                </c:pt>
                <c:pt idx="102">
                  <c:v>17387</c:v>
                </c:pt>
                <c:pt idx="103">
                  <c:v>20600</c:v>
                </c:pt>
                <c:pt idx="104">
                  <c:v>25498</c:v>
                </c:pt>
                <c:pt idx="105">
                  <c:v>25533</c:v>
                </c:pt>
                <c:pt idx="106">
                  <c:v>20528</c:v>
                </c:pt>
                <c:pt idx="107">
                  <c:v>16460</c:v>
                </c:pt>
                <c:pt idx="108">
                  <c:v>20818</c:v>
                </c:pt>
                <c:pt idx="109">
                  <c:v>19465</c:v>
                </c:pt>
                <c:pt idx="110">
                  <c:v>11536</c:v>
                </c:pt>
                <c:pt idx="111">
                  <c:v>13672</c:v>
                </c:pt>
                <c:pt idx="112">
                  <c:v>15864</c:v>
                </c:pt>
                <c:pt idx="113">
                  <c:v>13779</c:v>
                </c:pt>
                <c:pt idx="114">
                  <c:v>16399</c:v>
                </c:pt>
                <c:pt idx="115">
                  <c:v>17968</c:v>
                </c:pt>
                <c:pt idx="116">
                  <c:v>23513</c:v>
                </c:pt>
                <c:pt idx="117">
                  <c:v>22853</c:v>
                </c:pt>
                <c:pt idx="118">
                  <c:v>18948</c:v>
                </c:pt>
                <c:pt idx="119">
                  <c:v>16668</c:v>
                </c:pt>
                <c:pt idx="120">
                  <c:v>17864</c:v>
                </c:pt>
                <c:pt idx="121">
                  <c:v>19975</c:v>
                </c:pt>
                <c:pt idx="122">
                  <c:v>13800</c:v>
                </c:pt>
                <c:pt idx="123">
                  <c:v>14346</c:v>
                </c:pt>
                <c:pt idx="124">
                  <c:v>15744</c:v>
                </c:pt>
                <c:pt idx="125">
                  <c:v>12443</c:v>
                </c:pt>
                <c:pt idx="126">
                  <c:v>16722</c:v>
                </c:pt>
                <c:pt idx="127">
                  <c:v>20157</c:v>
                </c:pt>
                <c:pt idx="128">
                  <c:v>24750</c:v>
                </c:pt>
                <c:pt idx="129">
                  <c:v>23981</c:v>
                </c:pt>
                <c:pt idx="130">
                  <c:v>18492</c:v>
                </c:pt>
                <c:pt idx="131">
                  <c:v>15096</c:v>
                </c:pt>
                <c:pt idx="132">
                  <c:v>19560</c:v>
                </c:pt>
                <c:pt idx="133">
                  <c:v>18378</c:v>
                </c:pt>
                <c:pt idx="134">
                  <c:v>14950</c:v>
                </c:pt>
                <c:pt idx="135">
                  <c:v>14159</c:v>
                </c:pt>
                <c:pt idx="136">
                  <c:v>16343</c:v>
                </c:pt>
                <c:pt idx="137">
                  <c:v>15710</c:v>
                </c:pt>
                <c:pt idx="138">
                  <c:v>17097</c:v>
                </c:pt>
                <c:pt idx="139">
                  <c:v>18601</c:v>
                </c:pt>
                <c:pt idx="140">
                  <c:v>22681</c:v>
                </c:pt>
                <c:pt idx="141">
                  <c:v>24328</c:v>
                </c:pt>
                <c:pt idx="142">
                  <c:v>17243</c:v>
                </c:pt>
                <c:pt idx="143">
                  <c:v>14956</c:v>
                </c:pt>
                <c:pt idx="144">
                  <c:v>17963</c:v>
                </c:pt>
                <c:pt idx="145">
                  <c:v>17690</c:v>
                </c:pt>
                <c:pt idx="146">
                  <c:v>14123</c:v>
                </c:pt>
                <c:pt idx="147">
                  <c:v>13776</c:v>
                </c:pt>
                <c:pt idx="148">
                  <c:v>15122</c:v>
                </c:pt>
                <c:pt idx="149">
                  <c:v>16391</c:v>
                </c:pt>
                <c:pt idx="150">
                  <c:v>15966</c:v>
                </c:pt>
                <c:pt idx="151">
                  <c:v>18650</c:v>
                </c:pt>
                <c:pt idx="152">
                  <c:v>25391</c:v>
                </c:pt>
                <c:pt idx="153">
                  <c:v>23683</c:v>
                </c:pt>
                <c:pt idx="154">
                  <c:v>19016</c:v>
                </c:pt>
                <c:pt idx="155">
                  <c:v>16641</c:v>
                </c:pt>
                <c:pt idx="156">
                  <c:v>20189</c:v>
                </c:pt>
                <c:pt idx="157">
                  <c:v>22721</c:v>
                </c:pt>
                <c:pt idx="158">
                  <c:v>17171</c:v>
                </c:pt>
                <c:pt idx="159">
                  <c:v>18683</c:v>
                </c:pt>
                <c:pt idx="160">
                  <c:v>18201</c:v>
                </c:pt>
                <c:pt idx="161">
                  <c:v>19366</c:v>
                </c:pt>
                <c:pt idx="162">
                  <c:v>24878</c:v>
                </c:pt>
                <c:pt idx="163">
                  <c:v>21643</c:v>
                </c:pt>
                <c:pt idx="164">
                  <c:v>28701</c:v>
                </c:pt>
                <c:pt idx="165">
                  <c:v>27845</c:v>
                </c:pt>
                <c:pt idx="166">
                  <c:v>21487</c:v>
                </c:pt>
                <c:pt idx="167">
                  <c:v>18710</c:v>
                </c:pt>
                <c:pt idx="168">
                  <c:v>23598</c:v>
                </c:pt>
                <c:pt idx="169">
                  <c:v>25752</c:v>
                </c:pt>
                <c:pt idx="170">
                  <c:v>22395</c:v>
                </c:pt>
                <c:pt idx="171">
                  <c:v>21314</c:v>
                </c:pt>
                <c:pt idx="172">
                  <c:v>23722</c:v>
                </c:pt>
                <c:pt idx="173">
                  <c:v>24786</c:v>
                </c:pt>
                <c:pt idx="174">
                  <c:v>31524</c:v>
                </c:pt>
                <c:pt idx="175">
                  <c:v>31430</c:v>
                </c:pt>
                <c:pt idx="176">
                  <c:v>41560</c:v>
                </c:pt>
                <c:pt idx="177">
                  <c:v>39779</c:v>
                </c:pt>
                <c:pt idx="178">
                  <c:v>32546</c:v>
                </c:pt>
                <c:pt idx="179">
                  <c:v>30732</c:v>
                </c:pt>
                <c:pt idx="180">
                  <c:v>36935</c:v>
                </c:pt>
                <c:pt idx="181">
                  <c:v>33279</c:v>
                </c:pt>
                <c:pt idx="182">
                  <c:v>26394</c:v>
                </c:pt>
                <c:pt idx="183">
                  <c:v>22783</c:v>
                </c:pt>
                <c:pt idx="184">
                  <c:v>23425</c:v>
                </c:pt>
                <c:pt idx="185">
                  <c:v>27910</c:v>
                </c:pt>
                <c:pt idx="186">
                  <c:v>27036</c:v>
                </c:pt>
                <c:pt idx="187">
                  <c:v>27751</c:v>
                </c:pt>
                <c:pt idx="188">
                  <c:v>40660</c:v>
                </c:pt>
                <c:pt idx="189">
                  <c:v>37628</c:v>
                </c:pt>
                <c:pt idx="190">
                  <c:v>23833</c:v>
                </c:pt>
                <c:pt idx="191">
                  <c:v>20136</c:v>
                </c:pt>
                <c:pt idx="192">
                  <c:v>19615</c:v>
                </c:pt>
                <c:pt idx="193">
                  <c:v>22666</c:v>
                </c:pt>
                <c:pt idx="194">
                  <c:v>16998</c:v>
                </c:pt>
                <c:pt idx="195">
                  <c:v>15389</c:v>
                </c:pt>
                <c:pt idx="196">
                  <c:v>17258</c:v>
                </c:pt>
                <c:pt idx="197">
                  <c:v>18490</c:v>
                </c:pt>
                <c:pt idx="198">
                  <c:v>20508</c:v>
                </c:pt>
                <c:pt idx="199">
                  <c:v>23216</c:v>
                </c:pt>
                <c:pt idx="200">
                  <c:v>32101</c:v>
                </c:pt>
                <c:pt idx="201">
                  <c:v>31789</c:v>
                </c:pt>
                <c:pt idx="202">
                  <c:v>22282</c:v>
                </c:pt>
                <c:pt idx="203">
                  <c:v>18456</c:v>
                </c:pt>
                <c:pt idx="204">
                  <c:v>23635</c:v>
                </c:pt>
                <c:pt idx="205">
                  <c:v>21288</c:v>
                </c:pt>
                <c:pt idx="206">
                  <c:v>18856</c:v>
                </c:pt>
                <c:pt idx="207">
                  <c:v>16404</c:v>
                </c:pt>
                <c:pt idx="208">
                  <c:v>18050</c:v>
                </c:pt>
                <c:pt idx="209">
                  <c:v>19496</c:v>
                </c:pt>
                <c:pt idx="210">
                  <c:v>22095</c:v>
                </c:pt>
                <c:pt idx="211">
                  <c:v>28061</c:v>
                </c:pt>
                <c:pt idx="212">
                  <c:v>38109</c:v>
                </c:pt>
                <c:pt idx="213">
                  <c:v>36411</c:v>
                </c:pt>
                <c:pt idx="214">
                  <c:v>27166</c:v>
                </c:pt>
                <c:pt idx="215">
                  <c:v>22012</c:v>
                </c:pt>
                <c:pt idx="216">
                  <c:v>24002</c:v>
                </c:pt>
                <c:pt idx="217">
                  <c:v>27153</c:v>
                </c:pt>
                <c:pt idx="218">
                  <c:v>17375</c:v>
                </c:pt>
                <c:pt idx="219">
                  <c:v>17146</c:v>
                </c:pt>
                <c:pt idx="220">
                  <c:v>17985</c:v>
                </c:pt>
                <c:pt idx="221">
                  <c:v>17215</c:v>
                </c:pt>
                <c:pt idx="222">
                  <c:v>20869</c:v>
                </c:pt>
                <c:pt idx="223">
                  <c:v>23674</c:v>
                </c:pt>
                <c:pt idx="224">
                  <c:v>32199</c:v>
                </c:pt>
                <c:pt idx="225">
                  <c:v>30825</c:v>
                </c:pt>
                <c:pt idx="226">
                  <c:v>21952</c:v>
                </c:pt>
                <c:pt idx="227">
                  <c:v>16717</c:v>
                </c:pt>
                <c:pt idx="228">
                  <c:v>24770</c:v>
                </c:pt>
                <c:pt idx="229">
                  <c:v>15126</c:v>
                </c:pt>
                <c:pt idx="230">
                  <c:v>19889</c:v>
                </c:pt>
                <c:pt idx="231">
                  <c:v>13204</c:v>
                </c:pt>
                <c:pt idx="232">
                  <c:v>15110</c:v>
                </c:pt>
                <c:pt idx="233">
                  <c:v>14341</c:v>
                </c:pt>
                <c:pt idx="234">
                  <c:v>17849</c:v>
                </c:pt>
                <c:pt idx="235">
                  <c:v>21302</c:v>
                </c:pt>
                <c:pt idx="236">
                  <c:v>28547</c:v>
                </c:pt>
                <c:pt idx="237">
                  <c:v>27651</c:v>
                </c:pt>
                <c:pt idx="238">
                  <c:v>16040</c:v>
                </c:pt>
                <c:pt idx="239">
                  <c:v>15035</c:v>
                </c:pt>
                <c:pt idx="240">
                  <c:v>19047</c:v>
                </c:pt>
                <c:pt idx="241">
                  <c:v>15826</c:v>
                </c:pt>
                <c:pt idx="242">
                  <c:v>12931</c:v>
                </c:pt>
                <c:pt idx="243">
                  <c:v>11898</c:v>
                </c:pt>
                <c:pt idx="244">
                  <c:v>16236</c:v>
                </c:pt>
                <c:pt idx="245">
                  <c:v>16559</c:v>
                </c:pt>
                <c:pt idx="246">
                  <c:v>18212</c:v>
                </c:pt>
                <c:pt idx="247">
                  <c:v>23388</c:v>
                </c:pt>
                <c:pt idx="248">
                  <c:v>33735</c:v>
                </c:pt>
                <c:pt idx="249">
                  <c:v>29435</c:v>
                </c:pt>
                <c:pt idx="250">
                  <c:v>15156</c:v>
                </c:pt>
                <c:pt idx="251">
                  <c:v>12650</c:v>
                </c:pt>
                <c:pt idx="252">
                  <c:v>13888</c:v>
                </c:pt>
                <c:pt idx="253">
                  <c:v>19326</c:v>
                </c:pt>
                <c:pt idx="254">
                  <c:v>8665</c:v>
                </c:pt>
                <c:pt idx="255">
                  <c:v>6817</c:v>
                </c:pt>
                <c:pt idx="256">
                  <c:v>10752</c:v>
                </c:pt>
                <c:pt idx="257">
                  <c:v>5277</c:v>
                </c:pt>
                <c:pt idx="258">
                  <c:v>8745</c:v>
                </c:pt>
                <c:pt idx="259">
                  <c:v>10355</c:v>
                </c:pt>
                <c:pt idx="260">
                  <c:v>13716</c:v>
                </c:pt>
                <c:pt idx="261">
                  <c:v>11564</c:v>
                </c:pt>
                <c:pt idx="262">
                  <c:v>7249</c:v>
                </c:pt>
                <c:pt idx="263">
                  <c:v>5098</c:v>
                </c:pt>
                <c:pt idx="264">
                  <c:v>10843</c:v>
                </c:pt>
                <c:pt idx="265">
                  <c:v>8889</c:v>
                </c:pt>
                <c:pt idx="266">
                  <c:v>5904</c:v>
                </c:pt>
                <c:pt idx="267">
                  <c:v>5643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8-47C3-A683-C688930E7785}"/>
            </c:ext>
          </c:extLst>
        </c:ser>
        <c:ser>
          <c:idx val="1"/>
          <c:order val="1"/>
          <c:tx>
            <c:strRef>
              <c:f>'Comparativa mes año anterior'!$E$1:$E$4</c:f>
              <c:strCache>
                <c:ptCount val="4"/>
                <c:pt idx="0">
                  <c:v>Comparativa mes año anterior</c:v>
                </c:pt>
                <c:pt idx="2">
                  <c:v>Llegadas</c:v>
                </c:pt>
                <c:pt idx="3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'Comparativa mes año anterior'!$A$5:$A$272</c:f>
              <c:strCache>
                <c:ptCount val="268"/>
                <c:pt idx="0">
                  <c:v>Abr 26</c:v>
                </c:pt>
                <c:pt idx="1">
                  <c:v>Mar 26</c:v>
                </c:pt>
                <c:pt idx="2">
                  <c:v>Feb 26</c:v>
                </c:pt>
                <c:pt idx="3">
                  <c:v>Ene 26</c:v>
                </c:pt>
                <c:pt idx="4">
                  <c:v>Dic 25</c:v>
                </c:pt>
                <c:pt idx="5">
                  <c:v>Nov 25</c:v>
                </c:pt>
                <c:pt idx="6">
                  <c:v>Oct 25</c:v>
                </c:pt>
                <c:pt idx="7">
                  <c:v>Sep 25</c:v>
                </c:pt>
                <c:pt idx="8">
                  <c:v>Ago 25</c:v>
                </c:pt>
                <c:pt idx="9">
                  <c:v>Jul 25</c:v>
                </c:pt>
                <c:pt idx="10">
                  <c:v>Jun 25</c:v>
                </c:pt>
                <c:pt idx="11">
                  <c:v>May 25</c:v>
                </c:pt>
                <c:pt idx="12">
                  <c:v>Abr 25</c:v>
                </c:pt>
                <c:pt idx="13">
                  <c:v>Mar 25</c:v>
                </c:pt>
                <c:pt idx="14">
                  <c:v>Feb 25</c:v>
                </c:pt>
                <c:pt idx="15">
                  <c:v>Ene 25</c:v>
                </c:pt>
                <c:pt idx="16">
                  <c:v>Dic 24</c:v>
                </c:pt>
                <c:pt idx="17">
                  <c:v>Nov 24</c:v>
                </c:pt>
                <c:pt idx="18">
                  <c:v>Oct 24</c:v>
                </c:pt>
                <c:pt idx="19">
                  <c:v>Sep 24</c:v>
                </c:pt>
                <c:pt idx="20">
                  <c:v>Ago 24</c:v>
                </c:pt>
                <c:pt idx="21">
                  <c:v>Jul 24</c:v>
                </c:pt>
                <c:pt idx="22">
                  <c:v>Jun 24</c:v>
                </c:pt>
                <c:pt idx="23">
                  <c:v>May 24</c:v>
                </c:pt>
                <c:pt idx="24">
                  <c:v>Abr 24</c:v>
                </c:pt>
                <c:pt idx="25">
                  <c:v>Mar 24</c:v>
                </c:pt>
                <c:pt idx="26">
                  <c:v>Feb 24</c:v>
                </c:pt>
                <c:pt idx="27">
                  <c:v>Ene 24</c:v>
                </c:pt>
                <c:pt idx="28">
                  <c:v>Dic 23</c:v>
                </c:pt>
                <c:pt idx="29">
                  <c:v>Nov 23</c:v>
                </c:pt>
                <c:pt idx="30">
                  <c:v>Oct 23</c:v>
                </c:pt>
                <c:pt idx="31">
                  <c:v>Sep 23</c:v>
                </c:pt>
                <c:pt idx="32">
                  <c:v>Ago 23</c:v>
                </c:pt>
                <c:pt idx="33">
                  <c:v>Jul 23</c:v>
                </c:pt>
                <c:pt idx="34">
                  <c:v>Jun 23</c:v>
                </c:pt>
                <c:pt idx="35">
                  <c:v>May 23</c:v>
                </c:pt>
                <c:pt idx="36">
                  <c:v>Abr 23</c:v>
                </c:pt>
                <c:pt idx="37">
                  <c:v>Mar 23</c:v>
                </c:pt>
                <c:pt idx="38">
                  <c:v>Feb 23</c:v>
                </c:pt>
                <c:pt idx="39">
                  <c:v>Ene 23</c:v>
                </c:pt>
                <c:pt idx="40">
                  <c:v>Dic 22</c:v>
                </c:pt>
                <c:pt idx="41">
                  <c:v>Nov 22</c:v>
                </c:pt>
                <c:pt idx="42">
                  <c:v>Oct 22</c:v>
                </c:pt>
                <c:pt idx="43">
                  <c:v>Sep 22</c:v>
                </c:pt>
                <c:pt idx="44">
                  <c:v>Ago 22</c:v>
                </c:pt>
                <c:pt idx="45">
                  <c:v>Jul 22</c:v>
                </c:pt>
                <c:pt idx="46">
                  <c:v>Jun 22</c:v>
                </c:pt>
                <c:pt idx="47">
                  <c:v>May 22</c:v>
                </c:pt>
                <c:pt idx="48">
                  <c:v>Abr 22</c:v>
                </c:pt>
                <c:pt idx="49">
                  <c:v>Mar 22</c:v>
                </c:pt>
                <c:pt idx="50">
                  <c:v>Feb 22</c:v>
                </c:pt>
                <c:pt idx="51">
                  <c:v>Ene 22</c:v>
                </c:pt>
                <c:pt idx="52">
                  <c:v>Dic 21</c:v>
                </c:pt>
                <c:pt idx="53">
                  <c:v>Nov 21</c:v>
                </c:pt>
                <c:pt idx="54">
                  <c:v>Oct 21</c:v>
                </c:pt>
                <c:pt idx="55">
                  <c:v>Sep 21</c:v>
                </c:pt>
                <c:pt idx="56">
                  <c:v>Ago 21</c:v>
                </c:pt>
                <c:pt idx="57">
                  <c:v>Jul 21</c:v>
                </c:pt>
                <c:pt idx="58">
                  <c:v>Jun 21</c:v>
                </c:pt>
                <c:pt idx="59">
                  <c:v>May 21</c:v>
                </c:pt>
                <c:pt idx="60">
                  <c:v>Abr 21</c:v>
                </c:pt>
                <c:pt idx="61">
                  <c:v>Mar 21</c:v>
                </c:pt>
                <c:pt idx="62">
                  <c:v>Feb 21</c:v>
                </c:pt>
                <c:pt idx="63">
                  <c:v>Ene 21</c:v>
                </c:pt>
                <c:pt idx="64">
                  <c:v>dic-20</c:v>
                </c:pt>
                <c:pt idx="65">
                  <c:v>nov-20</c:v>
                </c:pt>
                <c:pt idx="66">
                  <c:v>oct-20</c:v>
                </c:pt>
                <c:pt idx="67">
                  <c:v>sep-20</c:v>
                </c:pt>
                <c:pt idx="68">
                  <c:v>ago-20</c:v>
                </c:pt>
                <c:pt idx="69">
                  <c:v>jul-20</c:v>
                </c:pt>
                <c:pt idx="70">
                  <c:v>jun-20</c:v>
                </c:pt>
                <c:pt idx="71">
                  <c:v>may-20</c:v>
                </c:pt>
                <c:pt idx="72">
                  <c:v>abr-20</c:v>
                </c:pt>
                <c:pt idx="73">
                  <c:v>mar-20</c:v>
                </c:pt>
                <c:pt idx="74">
                  <c:v>feb-20</c:v>
                </c:pt>
                <c:pt idx="75">
                  <c:v>ene-20</c:v>
                </c:pt>
                <c:pt idx="76">
                  <c:v>dic-19</c:v>
                </c:pt>
                <c:pt idx="77">
                  <c:v>nov-19</c:v>
                </c:pt>
                <c:pt idx="78">
                  <c:v>oct-19</c:v>
                </c:pt>
                <c:pt idx="79">
                  <c:v>sep-19</c:v>
                </c:pt>
                <c:pt idx="80">
                  <c:v>ago-19</c:v>
                </c:pt>
                <c:pt idx="81">
                  <c:v>jul-19</c:v>
                </c:pt>
                <c:pt idx="82">
                  <c:v>jun-19</c:v>
                </c:pt>
                <c:pt idx="83">
                  <c:v>may-19</c:v>
                </c:pt>
                <c:pt idx="84">
                  <c:v>abr-19</c:v>
                </c:pt>
                <c:pt idx="85">
                  <c:v>mar-19</c:v>
                </c:pt>
                <c:pt idx="86">
                  <c:v>feb-19</c:v>
                </c:pt>
                <c:pt idx="87">
                  <c:v>ene-19</c:v>
                </c:pt>
                <c:pt idx="88">
                  <c:v>dic-18</c:v>
                </c:pt>
                <c:pt idx="89">
                  <c:v>nov-18</c:v>
                </c:pt>
                <c:pt idx="90">
                  <c:v>oct-18</c:v>
                </c:pt>
                <c:pt idx="91">
                  <c:v>sep-18</c:v>
                </c:pt>
                <c:pt idx="92">
                  <c:v>ago-18</c:v>
                </c:pt>
                <c:pt idx="93">
                  <c:v>jul-18</c:v>
                </c:pt>
                <c:pt idx="94">
                  <c:v>jun-18</c:v>
                </c:pt>
                <c:pt idx="95">
                  <c:v>may-18</c:v>
                </c:pt>
                <c:pt idx="96">
                  <c:v>abr-18</c:v>
                </c:pt>
                <c:pt idx="97">
                  <c:v>mar-18</c:v>
                </c:pt>
                <c:pt idx="98">
                  <c:v>feb-18</c:v>
                </c:pt>
                <c:pt idx="99">
                  <c:v>ene-18</c:v>
                </c:pt>
                <c:pt idx="100">
                  <c:v>dic-17</c:v>
                </c:pt>
                <c:pt idx="101">
                  <c:v>nov-17</c:v>
                </c:pt>
                <c:pt idx="102">
                  <c:v>oct-17</c:v>
                </c:pt>
                <c:pt idx="103">
                  <c:v>sep-17</c:v>
                </c:pt>
                <c:pt idx="104">
                  <c:v>ago-17</c:v>
                </c:pt>
                <c:pt idx="105">
                  <c:v>jul-17</c:v>
                </c:pt>
                <c:pt idx="106">
                  <c:v>jun-17</c:v>
                </c:pt>
                <c:pt idx="107">
                  <c:v>may-17</c:v>
                </c:pt>
                <c:pt idx="108">
                  <c:v>abr-17</c:v>
                </c:pt>
                <c:pt idx="109">
                  <c:v>mar-17</c:v>
                </c:pt>
                <c:pt idx="110">
                  <c:v>feb-17</c:v>
                </c:pt>
                <c:pt idx="111">
                  <c:v>ene-17</c:v>
                </c:pt>
                <c:pt idx="112">
                  <c:v>dic-16</c:v>
                </c:pt>
                <c:pt idx="113">
                  <c:v>nov-16</c:v>
                </c:pt>
                <c:pt idx="114">
                  <c:v>oct-16</c:v>
                </c:pt>
                <c:pt idx="115">
                  <c:v>sep-16</c:v>
                </c:pt>
                <c:pt idx="116">
                  <c:v>ago-16</c:v>
                </c:pt>
                <c:pt idx="117">
                  <c:v>jul-16</c:v>
                </c:pt>
                <c:pt idx="118">
                  <c:v>jun-16</c:v>
                </c:pt>
                <c:pt idx="119">
                  <c:v>may-16</c:v>
                </c:pt>
                <c:pt idx="120">
                  <c:v>abr-16</c:v>
                </c:pt>
                <c:pt idx="121">
                  <c:v>mar-16</c:v>
                </c:pt>
                <c:pt idx="122">
                  <c:v>feb-16</c:v>
                </c:pt>
                <c:pt idx="123">
                  <c:v>ene-16</c:v>
                </c:pt>
                <c:pt idx="124">
                  <c:v>dic-15</c:v>
                </c:pt>
                <c:pt idx="125">
                  <c:v>nov-15</c:v>
                </c:pt>
                <c:pt idx="126">
                  <c:v>oct-15</c:v>
                </c:pt>
                <c:pt idx="127">
                  <c:v>sep-15</c:v>
                </c:pt>
                <c:pt idx="128">
                  <c:v>ago-15</c:v>
                </c:pt>
                <c:pt idx="129">
                  <c:v>jul-15</c:v>
                </c:pt>
                <c:pt idx="130">
                  <c:v>jun-15</c:v>
                </c:pt>
                <c:pt idx="131">
                  <c:v>may-15</c:v>
                </c:pt>
                <c:pt idx="132">
                  <c:v>abr-15</c:v>
                </c:pt>
                <c:pt idx="133">
                  <c:v>mar-15</c:v>
                </c:pt>
                <c:pt idx="134">
                  <c:v>feb-15</c:v>
                </c:pt>
                <c:pt idx="135">
                  <c:v>ene-15</c:v>
                </c:pt>
                <c:pt idx="136">
                  <c:v>dic-14</c:v>
                </c:pt>
                <c:pt idx="137">
                  <c:v>nov-14</c:v>
                </c:pt>
                <c:pt idx="138">
                  <c:v>oct-14</c:v>
                </c:pt>
                <c:pt idx="139">
                  <c:v>sep-14</c:v>
                </c:pt>
                <c:pt idx="140">
                  <c:v>ago-14</c:v>
                </c:pt>
                <c:pt idx="141">
                  <c:v>jul-14</c:v>
                </c:pt>
                <c:pt idx="142">
                  <c:v>jun-14</c:v>
                </c:pt>
                <c:pt idx="143">
                  <c:v>may-14</c:v>
                </c:pt>
                <c:pt idx="144">
                  <c:v>abr-14</c:v>
                </c:pt>
                <c:pt idx="145">
                  <c:v>mar-14</c:v>
                </c:pt>
                <c:pt idx="146">
                  <c:v>feb-14</c:v>
                </c:pt>
                <c:pt idx="147">
                  <c:v>ene-14</c:v>
                </c:pt>
                <c:pt idx="148">
                  <c:v>dic-13</c:v>
                </c:pt>
                <c:pt idx="149">
                  <c:v>nov-13</c:v>
                </c:pt>
                <c:pt idx="150">
                  <c:v>oct-13</c:v>
                </c:pt>
                <c:pt idx="151">
                  <c:v>sep-13</c:v>
                </c:pt>
                <c:pt idx="152">
                  <c:v>ago-13</c:v>
                </c:pt>
                <c:pt idx="153">
                  <c:v>jul-13</c:v>
                </c:pt>
                <c:pt idx="154">
                  <c:v>jun-13</c:v>
                </c:pt>
                <c:pt idx="155">
                  <c:v>may-13</c:v>
                </c:pt>
                <c:pt idx="156">
                  <c:v>abr-13</c:v>
                </c:pt>
                <c:pt idx="157">
                  <c:v>mar-13</c:v>
                </c:pt>
                <c:pt idx="158">
                  <c:v>feb-13</c:v>
                </c:pt>
                <c:pt idx="159">
                  <c:v>ene-13</c:v>
                </c:pt>
                <c:pt idx="160">
                  <c:v>dic-12</c:v>
                </c:pt>
                <c:pt idx="161">
                  <c:v>nov-12</c:v>
                </c:pt>
                <c:pt idx="162">
                  <c:v>oct-12</c:v>
                </c:pt>
                <c:pt idx="163">
                  <c:v>sep-12</c:v>
                </c:pt>
                <c:pt idx="164">
                  <c:v>ago-12</c:v>
                </c:pt>
                <c:pt idx="165">
                  <c:v>jul-12</c:v>
                </c:pt>
                <c:pt idx="166">
                  <c:v>jun-12</c:v>
                </c:pt>
                <c:pt idx="167">
                  <c:v>may-12</c:v>
                </c:pt>
                <c:pt idx="168">
                  <c:v>abr-12</c:v>
                </c:pt>
                <c:pt idx="169">
                  <c:v>mar-12</c:v>
                </c:pt>
                <c:pt idx="170">
                  <c:v>feb-12</c:v>
                </c:pt>
                <c:pt idx="171">
                  <c:v>ene-12</c:v>
                </c:pt>
                <c:pt idx="172">
                  <c:v>dic-11</c:v>
                </c:pt>
                <c:pt idx="173">
                  <c:v>nov-11</c:v>
                </c:pt>
                <c:pt idx="174">
                  <c:v>oct-11</c:v>
                </c:pt>
                <c:pt idx="175">
                  <c:v>sep-11</c:v>
                </c:pt>
                <c:pt idx="176">
                  <c:v>ago-11</c:v>
                </c:pt>
                <c:pt idx="177">
                  <c:v>jul-11</c:v>
                </c:pt>
                <c:pt idx="178">
                  <c:v>jun-11</c:v>
                </c:pt>
                <c:pt idx="179">
                  <c:v>may-11</c:v>
                </c:pt>
                <c:pt idx="180">
                  <c:v>abr-11</c:v>
                </c:pt>
                <c:pt idx="181">
                  <c:v>mar-11</c:v>
                </c:pt>
                <c:pt idx="182">
                  <c:v>feb-11</c:v>
                </c:pt>
                <c:pt idx="183">
                  <c:v>ene-11</c:v>
                </c:pt>
                <c:pt idx="184">
                  <c:v>dic-10</c:v>
                </c:pt>
                <c:pt idx="185">
                  <c:v>nov-10</c:v>
                </c:pt>
                <c:pt idx="186">
                  <c:v>oct-10</c:v>
                </c:pt>
                <c:pt idx="187">
                  <c:v>sep-10</c:v>
                </c:pt>
                <c:pt idx="188">
                  <c:v>ago-10</c:v>
                </c:pt>
                <c:pt idx="189">
                  <c:v>jul-10</c:v>
                </c:pt>
                <c:pt idx="190">
                  <c:v>jun-10</c:v>
                </c:pt>
                <c:pt idx="191">
                  <c:v>may-10</c:v>
                </c:pt>
                <c:pt idx="192">
                  <c:v>abr-10</c:v>
                </c:pt>
                <c:pt idx="193">
                  <c:v>mar-10</c:v>
                </c:pt>
                <c:pt idx="194">
                  <c:v>feb-10</c:v>
                </c:pt>
                <c:pt idx="195">
                  <c:v>ene-10</c:v>
                </c:pt>
                <c:pt idx="196">
                  <c:v>dic-09</c:v>
                </c:pt>
                <c:pt idx="197">
                  <c:v>nov-09</c:v>
                </c:pt>
                <c:pt idx="198">
                  <c:v>oct-09</c:v>
                </c:pt>
                <c:pt idx="199">
                  <c:v>sep-09</c:v>
                </c:pt>
                <c:pt idx="200">
                  <c:v>ago-09</c:v>
                </c:pt>
                <c:pt idx="201">
                  <c:v>jul-09</c:v>
                </c:pt>
                <c:pt idx="202">
                  <c:v>jun-09</c:v>
                </c:pt>
                <c:pt idx="203">
                  <c:v>may-09</c:v>
                </c:pt>
                <c:pt idx="204">
                  <c:v>abr-09</c:v>
                </c:pt>
                <c:pt idx="205">
                  <c:v>mar-09</c:v>
                </c:pt>
                <c:pt idx="206">
                  <c:v>feb-09</c:v>
                </c:pt>
                <c:pt idx="207">
                  <c:v>ene-09</c:v>
                </c:pt>
                <c:pt idx="208">
                  <c:v>dic-08</c:v>
                </c:pt>
                <c:pt idx="209">
                  <c:v>nov-08</c:v>
                </c:pt>
                <c:pt idx="210">
                  <c:v>oct-08</c:v>
                </c:pt>
                <c:pt idx="211">
                  <c:v>sep-08</c:v>
                </c:pt>
                <c:pt idx="212">
                  <c:v>ago-08</c:v>
                </c:pt>
                <c:pt idx="213">
                  <c:v>jul-08</c:v>
                </c:pt>
                <c:pt idx="214">
                  <c:v>jun-08</c:v>
                </c:pt>
                <c:pt idx="215">
                  <c:v>may-08</c:v>
                </c:pt>
                <c:pt idx="216">
                  <c:v>abr-08</c:v>
                </c:pt>
                <c:pt idx="217">
                  <c:v>mar-08</c:v>
                </c:pt>
                <c:pt idx="218">
                  <c:v>feb-08</c:v>
                </c:pt>
                <c:pt idx="219">
                  <c:v>ene-08</c:v>
                </c:pt>
                <c:pt idx="220">
                  <c:v>dic-07</c:v>
                </c:pt>
                <c:pt idx="221">
                  <c:v>nov-07</c:v>
                </c:pt>
                <c:pt idx="222">
                  <c:v>oct-07</c:v>
                </c:pt>
                <c:pt idx="223">
                  <c:v>sep-07</c:v>
                </c:pt>
                <c:pt idx="224">
                  <c:v>ago-07</c:v>
                </c:pt>
                <c:pt idx="225">
                  <c:v>jul-07</c:v>
                </c:pt>
                <c:pt idx="226">
                  <c:v>jun-07</c:v>
                </c:pt>
                <c:pt idx="227">
                  <c:v>may-07</c:v>
                </c:pt>
                <c:pt idx="228">
                  <c:v>abr-07</c:v>
                </c:pt>
                <c:pt idx="229">
                  <c:v>mar-07</c:v>
                </c:pt>
                <c:pt idx="230">
                  <c:v>feb-07</c:v>
                </c:pt>
                <c:pt idx="231">
                  <c:v>ene-07</c:v>
                </c:pt>
                <c:pt idx="232">
                  <c:v>dic-06</c:v>
                </c:pt>
                <c:pt idx="233">
                  <c:v>nov-06</c:v>
                </c:pt>
                <c:pt idx="234">
                  <c:v>oct-06</c:v>
                </c:pt>
                <c:pt idx="235">
                  <c:v>sep-06</c:v>
                </c:pt>
                <c:pt idx="236">
                  <c:v>ago-06</c:v>
                </c:pt>
                <c:pt idx="237">
                  <c:v>jul-06</c:v>
                </c:pt>
                <c:pt idx="238">
                  <c:v>jun-06</c:v>
                </c:pt>
                <c:pt idx="239">
                  <c:v>may-06</c:v>
                </c:pt>
                <c:pt idx="240">
                  <c:v>abr-06</c:v>
                </c:pt>
                <c:pt idx="241">
                  <c:v>mar-06</c:v>
                </c:pt>
                <c:pt idx="242">
                  <c:v>feb-06</c:v>
                </c:pt>
                <c:pt idx="243">
                  <c:v>ene-06</c:v>
                </c:pt>
                <c:pt idx="244">
                  <c:v>dic-05</c:v>
                </c:pt>
                <c:pt idx="245">
                  <c:v>nov-05</c:v>
                </c:pt>
                <c:pt idx="246">
                  <c:v>oct-05</c:v>
                </c:pt>
                <c:pt idx="247">
                  <c:v>sep-05</c:v>
                </c:pt>
                <c:pt idx="248">
                  <c:v>ago-05</c:v>
                </c:pt>
                <c:pt idx="249">
                  <c:v>jul-05</c:v>
                </c:pt>
                <c:pt idx="250">
                  <c:v>jun-05</c:v>
                </c:pt>
                <c:pt idx="251">
                  <c:v>may-05</c:v>
                </c:pt>
                <c:pt idx="252">
                  <c:v>abr-05</c:v>
                </c:pt>
                <c:pt idx="253">
                  <c:v>mar-05</c:v>
                </c:pt>
                <c:pt idx="254">
                  <c:v>feb-05</c:v>
                </c:pt>
                <c:pt idx="255">
                  <c:v>ene-05</c:v>
                </c:pt>
                <c:pt idx="256">
                  <c:v>dic-04</c:v>
                </c:pt>
                <c:pt idx="257">
                  <c:v>nov-04</c:v>
                </c:pt>
                <c:pt idx="258">
                  <c:v>oct-04</c:v>
                </c:pt>
                <c:pt idx="259">
                  <c:v>sep-04</c:v>
                </c:pt>
                <c:pt idx="260">
                  <c:v>ago-04</c:v>
                </c:pt>
                <c:pt idx="261">
                  <c:v>jul-04</c:v>
                </c:pt>
                <c:pt idx="262">
                  <c:v>jun-04</c:v>
                </c:pt>
                <c:pt idx="263">
                  <c:v>may-04</c:v>
                </c:pt>
                <c:pt idx="264">
                  <c:v>abr-04</c:v>
                </c:pt>
                <c:pt idx="265">
                  <c:v>mar-04</c:v>
                </c:pt>
                <c:pt idx="266">
                  <c:v>feb-04</c:v>
                </c:pt>
                <c:pt idx="267">
                  <c:v>ene-04</c:v>
                </c:pt>
              </c:strCache>
            </c:strRef>
          </c:cat>
          <c:val>
            <c:numRef>
              <c:f>'Comparativa mes año anterior'!$E$5:$E$272</c:f>
              <c:numCache>
                <c:formatCode>#,##0_);\(#,##0\)</c:formatCode>
                <c:ptCount val="268"/>
                <c:pt idx="0">
                  <c:v>31904</c:v>
                </c:pt>
                <c:pt idx="1">
                  <c:v>26383</c:v>
                </c:pt>
                <c:pt idx="2">
                  <c:v>21766</c:v>
                </c:pt>
                <c:pt idx="3">
                  <c:v>22640</c:v>
                </c:pt>
                <c:pt idx="4">
                  <c:v>26116</c:v>
                </c:pt>
                <c:pt idx="5">
                  <c:v>23861</c:v>
                </c:pt>
                <c:pt idx="6">
                  <c:v>33174</c:v>
                </c:pt>
                <c:pt idx="7">
                  <c:v>32984</c:v>
                </c:pt>
                <c:pt idx="8">
                  <c:v>37144</c:v>
                </c:pt>
                <c:pt idx="9">
                  <c:v>34544</c:v>
                </c:pt>
                <c:pt idx="10">
                  <c:v>29410</c:v>
                </c:pt>
                <c:pt idx="11">
                  <c:v>32743</c:v>
                </c:pt>
                <c:pt idx="12">
                  <c:v>33270</c:v>
                </c:pt>
                <c:pt idx="13">
                  <c:v>25715</c:v>
                </c:pt>
                <c:pt idx="14">
                  <c:v>22052</c:v>
                </c:pt>
                <c:pt idx="15">
                  <c:v>21181</c:v>
                </c:pt>
                <c:pt idx="16">
                  <c:v>27911</c:v>
                </c:pt>
                <c:pt idx="17">
                  <c:v>24268</c:v>
                </c:pt>
                <c:pt idx="18">
                  <c:v>31329</c:v>
                </c:pt>
                <c:pt idx="19">
                  <c:v>33370</c:v>
                </c:pt>
                <c:pt idx="20">
                  <c:v>35950</c:v>
                </c:pt>
                <c:pt idx="21">
                  <c:v>32485</c:v>
                </c:pt>
                <c:pt idx="22">
                  <c:v>31224</c:v>
                </c:pt>
                <c:pt idx="23">
                  <c:v>30194</c:v>
                </c:pt>
                <c:pt idx="24">
                  <c:v>30071</c:v>
                </c:pt>
                <c:pt idx="25">
                  <c:v>26949</c:v>
                </c:pt>
                <c:pt idx="26">
                  <c:v>20982</c:v>
                </c:pt>
                <c:pt idx="27">
                  <c:v>22113</c:v>
                </c:pt>
                <c:pt idx="28">
                  <c:v>25139</c:v>
                </c:pt>
                <c:pt idx="29">
                  <c:v>19967</c:v>
                </c:pt>
                <c:pt idx="30">
                  <c:v>30350</c:v>
                </c:pt>
                <c:pt idx="31">
                  <c:v>31757</c:v>
                </c:pt>
                <c:pt idx="32">
                  <c:v>36279</c:v>
                </c:pt>
                <c:pt idx="33">
                  <c:v>35358</c:v>
                </c:pt>
                <c:pt idx="34">
                  <c:v>27863</c:v>
                </c:pt>
                <c:pt idx="35">
                  <c:v>27132</c:v>
                </c:pt>
                <c:pt idx="36">
                  <c:v>32260</c:v>
                </c:pt>
                <c:pt idx="37">
                  <c:v>26392</c:v>
                </c:pt>
                <c:pt idx="38">
                  <c:v>23591</c:v>
                </c:pt>
                <c:pt idx="39">
                  <c:v>25455</c:v>
                </c:pt>
                <c:pt idx="40">
                  <c:v>27638</c:v>
                </c:pt>
                <c:pt idx="41">
                  <c:v>22140</c:v>
                </c:pt>
                <c:pt idx="42">
                  <c:v>29538</c:v>
                </c:pt>
                <c:pt idx="43">
                  <c:v>31483</c:v>
                </c:pt>
                <c:pt idx="44">
                  <c:v>35856</c:v>
                </c:pt>
                <c:pt idx="45">
                  <c:v>34342</c:v>
                </c:pt>
                <c:pt idx="46">
                  <c:v>29094</c:v>
                </c:pt>
                <c:pt idx="47">
                  <c:v>25706</c:v>
                </c:pt>
                <c:pt idx="48">
                  <c:v>25908</c:v>
                </c:pt>
                <c:pt idx="49">
                  <c:v>22233</c:v>
                </c:pt>
                <c:pt idx="50">
                  <c:v>15279</c:v>
                </c:pt>
                <c:pt idx="51">
                  <c:v>12430</c:v>
                </c:pt>
                <c:pt idx="52">
                  <c:v>20540</c:v>
                </c:pt>
                <c:pt idx="53">
                  <c:v>17867</c:v>
                </c:pt>
                <c:pt idx="54">
                  <c:v>16196</c:v>
                </c:pt>
                <c:pt idx="55">
                  <c:v>20517</c:v>
                </c:pt>
                <c:pt idx="56">
                  <c:v>25022</c:v>
                </c:pt>
                <c:pt idx="57">
                  <c:v>18918</c:v>
                </c:pt>
                <c:pt idx="58">
                  <c:v>8765</c:v>
                </c:pt>
                <c:pt idx="59">
                  <c:v>4202</c:v>
                </c:pt>
                <c:pt idx="60">
                  <c:v>2325</c:v>
                </c:pt>
                <c:pt idx="61">
                  <c:v>1539</c:v>
                </c:pt>
                <c:pt idx="62">
                  <c:v>864</c:v>
                </c:pt>
                <c:pt idx="63">
                  <c:v>2196</c:v>
                </c:pt>
                <c:pt idx="64">
                  <c:v>3178</c:v>
                </c:pt>
                <c:pt idx="65">
                  <c:v>1278</c:v>
                </c:pt>
                <c:pt idx="66">
                  <c:v>4367</c:v>
                </c:pt>
                <c:pt idx="67">
                  <c:v>9402</c:v>
                </c:pt>
                <c:pt idx="68">
                  <c:v>15993</c:v>
                </c:pt>
                <c:pt idx="69">
                  <c:v>10299</c:v>
                </c:pt>
                <c:pt idx="70">
                  <c:v>261</c:v>
                </c:pt>
                <c:pt idx="71">
                  <c:v>20</c:v>
                </c:pt>
                <c:pt idx="72">
                  <c:v>4</c:v>
                </c:pt>
                <c:pt idx="73">
                  <c:v>7574</c:v>
                </c:pt>
                <c:pt idx="74">
                  <c:v>16380</c:v>
                </c:pt>
                <c:pt idx="75">
                  <c:v>15591</c:v>
                </c:pt>
                <c:pt idx="76">
                  <c:v>14374</c:v>
                </c:pt>
                <c:pt idx="77">
                  <c:v>11668</c:v>
                </c:pt>
                <c:pt idx="78">
                  <c:v>14554</c:v>
                </c:pt>
                <c:pt idx="79">
                  <c:v>17453</c:v>
                </c:pt>
                <c:pt idx="80">
                  <c:v>18616</c:v>
                </c:pt>
                <c:pt idx="81">
                  <c:v>19492</c:v>
                </c:pt>
                <c:pt idx="82">
                  <c:v>15297</c:v>
                </c:pt>
                <c:pt idx="83">
                  <c:v>13282</c:v>
                </c:pt>
                <c:pt idx="84">
                  <c:v>14693</c:v>
                </c:pt>
                <c:pt idx="85">
                  <c:v>11192</c:v>
                </c:pt>
                <c:pt idx="86">
                  <c:v>9718</c:v>
                </c:pt>
                <c:pt idx="87">
                  <c:v>10549</c:v>
                </c:pt>
                <c:pt idx="88">
                  <c:v>17518</c:v>
                </c:pt>
                <c:pt idx="89">
                  <c:v>13713</c:v>
                </c:pt>
                <c:pt idx="90">
                  <c:v>18316</c:v>
                </c:pt>
                <c:pt idx="91">
                  <c:v>26692</c:v>
                </c:pt>
                <c:pt idx="92">
                  <c:v>32311</c:v>
                </c:pt>
                <c:pt idx="93">
                  <c:v>30522</c:v>
                </c:pt>
                <c:pt idx="94">
                  <c:v>22605</c:v>
                </c:pt>
                <c:pt idx="95">
                  <c:v>16982</c:v>
                </c:pt>
                <c:pt idx="96">
                  <c:v>20583</c:v>
                </c:pt>
                <c:pt idx="97">
                  <c:v>16606</c:v>
                </c:pt>
                <c:pt idx="98">
                  <c:v>12922</c:v>
                </c:pt>
                <c:pt idx="99">
                  <c:v>12899</c:v>
                </c:pt>
                <c:pt idx="100">
                  <c:v>16044</c:v>
                </c:pt>
                <c:pt idx="101">
                  <c:v>12713</c:v>
                </c:pt>
                <c:pt idx="102">
                  <c:v>17323</c:v>
                </c:pt>
                <c:pt idx="103">
                  <c:v>21555</c:v>
                </c:pt>
                <c:pt idx="104">
                  <c:v>26488</c:v>
                </c:pt>
                <c:pt idx="105">
                  <c:v>24441</c:v>
                </c:pt>
                <c:pt idx="106">
                  <c:v>18799</c:v>
                </c:pt>
                <c:pt idx="107">
                  <c:v>16784</c:v>
                </c:pt>
                <c:pt idx="108">
                  <c:v>21435</c:v>
                </c:pt>
                <c:pt idx="109">
                  <c:v>18007</c:v>
                </c:pt>
                <c:pt idx="110">
                  <c:v>11524</c:v>
                </c:pt>
                <c:pt idx="111">
                  <c:v>12526</c:v>
                </c:pt>
                <c:pt idx="112">
                  <c:v>16499</c:v>
                </c:pt>
                <c:pt idx="113">
                  <c:v>12874</c:v>
                </c:pt>
                <c:pt idx="114">
                  <c:v>16045</c:v>
                </c:pt>
                <c:pt idx="115">
                  <c:v>18448</c:v>
                </c:pt>
                <c:pt idx="116">
                  <c:v>23266</c:v>
                </c:pt>
                <c:pt idx="117">
                  <c:v>22108</c:v>
                </c:pt>
                <c:pt idx="118">
                  <c:v>18228</c:v>
                </c:pt>
                <c:pt idx="119">
                  <c:v>16748</c:v>
                </c:pt>
                <c:pt idx="120">
                  <c:v>16973</c:v>
                </c:pt>
                <c:pt idx="121">
                  <c:v>19774</c:v>
                </c:pt>
                <c:pt idx="122">
                  <c:v>13377</c:v>
                </c:pt>
                <c:pt idx="123">
                  <c:v>12734</c:v>
                </c:pt>
                <c:pt idx="124">
                  <c:v>16998</c:v>
                </c:pt>
                <c:pt idx="125">
                  <c:v>11270</c:v>
                </c:pt>
                <c:pt idx="126">
                  <c:v>16275</c:v>
                </c:pt>
                <c:pt idx="127">
                  <c:v>20898</c:v>
                </c:pt>
                <c:pt idx="128">
                  <c:v>24556</c:v>
                </c:pt>
                <c:pt idx="129">
                  <c:v>23431</c:v>
                </c:pt>
                <c:pt idx="130">
                  <c:v>17110</c:v>
                </c:pt>
                <c:pt idx="131">
                  <c:v>15136</c:v>
                </c:pt>
                <c:pt idx="132">
                  <c:v>19420</c:v>
                </c:pt>
                <c:pt idx="133">
                  <c:v>17419</c:v>
                </c:pt>
                <c:pt idx="134">
                  <c:v>14806</c:v>
                </c:pt>
                <c:pt idx="135">
                  <c:v>12281</c:v>
                </c:pt>
                <c:pt idx="136">
                  <c:v>16883</c:v>
                </c:pt>
                <c:pt idx="137">
                  <c:v>14788</c:v>
                </c:pt>
                <c:pt idx="138">
                  <c:v>16676</c:v>
                </c:pt>
                <c:pt idx="139">
                  <c:v>19304</c:v>
                </c:pt>
                <c:pt idx="140">
                  <c:v>22878</c:v>
                </c:pt>
                <c:pt idx="141">
                  <c:v>24162</c:v>
                </c:pt>
                <c:pt idx="142">
                  <c:v>15369</c:v>
                </c:pt>
                <c:pt idx="143">
                  <c:v>15198</c:v>
                </c:pt>
                <c:pt idx="144">
                  <c:v>18091</c:v>
                </c:pt>
                <c:pt idx="145">
                  <c:v>17426</c:v>
                </c:pt>
                <c:pt idx="146">
                  <c:v>13831</c:v>
                </c:pt>
                <c:pt idx="147">
                  <c:v>11742</c:v>
                </c:pt>
                <c:pt idx="148">
                  <c:v>16781</c:v>
                </c:pt>
                <c:pt idx="149">
                  <c:v>15345</c:v>
                </c:pt>
                <c:pt idx="150">
                  <c:v>16136</c:v>
                </c:pt>
                <c:pt idx="151">
                  <c:v>19636</c:v>
                </c:pt>
                <c:pt idx="152">
                  <c:v>24999</c:v>
                </c:pt>
                <c:pt idx="153">
                  <c:v>23468</c:v>
                </c:pt>
                <c:pt idx="154">
                  <c:v>17963</c:v>
                </c:pt>
                <c:pt idx="155">
                  <c:v>17484</c:v>
                </c:pt>
                <c:pt idx="156">
                  <c:v>20997</c:v>
                </c:pt>
                <c:pt idx="157">
                  <c:v>21968</c:v>
                </c:pt>
                <c:pt idx="158">
                  <c:v>17076</c:v>
                </c:pt>
                <c:pt idx="159">
                  <c:v>16669</c:v>
                </c:pt>
                <c:pt idx="160">
                  <c:v>19995</c:v>
                </c:pt>
                <c:pt idx="161">
                  <c:v>18241</c:v>
                </c:pt>
                <c:pt idx="162">
                  <c:v>26014</c:v>
                </c:pt>
                <c:pt idx="163">
                  <c:v>23124</c:v>
                </c:pt>
                <c:pt idx="164">
                  <c:v>29193</c:v>
                </c:pt>
                <c:pt idx="165">
                  <c:v>27251</c:v>
                </c:pt>
                <c:pt idx="166">
                  <c:v>21123</c:v>
                </c:pt>
                <c:pt idx="167">
                  <c:v>19060</c:v>
                </c:pt>
                <c:pt idx="168">
                  <c:v>24587</c:v>
                </c:pt>
                <c:pt idx="169">
                  <c:v>25357</c:v>
                </c:pt>
                <c:pt idx="170">
                  <c:v>21850</c:v>
                </c:pt>
                <c:pt idx="171">
                  <c:v>20334</c:v>
                </c:pt>
                <c:pt idx="172">
                  <c:v>25664</c:v>
                </c:pt>
                <c:pt idx="173">
                  <c:v>23942</c:v>
                </c:pt>
                <c:pt idx="174">
                  <c:v>31081</c:v>
                </c:pt>
                <c:pt idx="175">
                  <c:v>33506</c:v>
                </c:pt>
                <c:pt idx="176">
                  <c:v>42462</c:v>
                </c:pt>
                <c:pt idx="177">
                  <c:v>39324</c:v>
                </c:pt>
                <c:pt idx="178">
                  <c:v>30607</c:v>
                </c:pt>
                <c:pt idx="179">
                  <c:v>32390</c:v>
                </c:pt>
                <c:pt idx="180">
                  <c:v>36370</c:v>
                </c:pt>
                <c:pt idx="181">
                  <c:v>32661</c:v>
                </c:pt>
                <c:pt idx="182">
                  <c:v>26103</c:v>
                </c:pt>
                <c:pt idx="183">
                  <c:v>20947</c:v>
                </c:pt>
                <c:pt idx="184">
                  <c:v>25132</c:v>
                </c:pt>
                <c:pt idx="185">
                  <c:v>26974</c:v>
                </c:pt>
                <c:pt idx="186">
                  <c:v>27310</c:v>
                </c:pt>
                <c:pt idx="187">
                  <c:v>29417</c:v>
                </c:pt>
                <c:pt idx="188">
                  <c:v>40976</c:v>
                </c:pt>
                <c:pt idx="189">
                  <c:v>36255</c:v>
                </c:pt>
                <c:pt idx="190">
                  <c:v>22563</c:v>
                </c:pt>
                <c:pt idx="191">
                  <c:v>20647</c:v>
                </c:pt>
                <c:pt idx="192">
                  <c:v>21287</c:v>
                </c:pt>
                <c:pt idx="193">
                  <c:v>21235</c:v>
                </c:pt>
                <c:pt idx="194">
                  <c:v>16399</c:v>
                </c:pt>
                <c:pt idx="195">
                  <c:v>14311</c:v>
                </c:pt>
                <c:pt idx="196">
                  <c:v>19301</c:v>
                </c:pt>
                <c:pt idx="197">
                  <c:v>18015</c:v>
                </c:pt>
                <c:pt idx="198">
                  <c:v>19976</c:v>
                </c:pt>
                <c:pt idx="199">
                  <c:v>25175</c:v>
                </c:pt>
                <c:pt idx="200">
                  <c:v>32517</c:v>
                </c:pt>
                <c:pt idx="201">
                  <c:v>30864</c:v>
                </c:pt>
                <c:pt idx="202">
                  <c:v>21194</c:v>
                </c:pt>
                <c:pt idx="203">
                  <c:v>19459</c:v>
                </c:pt>
                <c:pt idx="204">
                  <c:v>23871</c:v>
                </c:pt>
                <c:pt idx="205">
                  <c:v>21427</c:v>
                </c:pt>
                <c:pt idx="206">
                  <c:v>18725</c:v>
                </c:pt>
                <c:pt idx="207">
                  <c:v>14550</c:v>
                </c:pt>
                <c:pt idx="208">
                  <c:v>20069</c:v>
                </c:pt>
                <c:pt idx="209">
                  <c:v>18767</c:v>
                </c:pt>
                <c:pt idx="210">
                  <c:v>22234</c:v>
                </c:pt>
                <c:pt idx="211">
                  <c:v>28898</c:v>
                </c:pt>
                <c:pt idx="212">
                  <c:v>38176</c:v>
                </c:pt>
                <c:pt idx="213">
                  <c:v>36613</c:v>
                </c:pt>
                <c:pt idx="214">
                  <c:v>26445</c:v>
                </c:pt>
                <c:pt idx="215">
                  <c:v>23559</c:v>
                </c:pt>
                <c:pt idx="216">
                  <c:v>23673</c:v>
                </c:pt>
                <c:pt idx="217">
                  <c:v>27249</c:v>
                </c:pt>
                <c:pt idx="218">
                  <c:v>17024</c:v>
                </c:pt>
                <c:pt idx="219">
                  <c:v>15851</c:v>
                </c:pt>
                <c:pt idx="220">
                  <c:v>19916</c:v>
                </c:pt>
                <c:pt idx="221">
                  <c:v>17271</c:v>
                </c:pt>
                <c:pt idx="222">
                  <c:v>21380</c:v>
                </c:pt>
                <c:pt idx="223">
                  <c:v>25570</c:v>
                </c:pt>
                <c:pt idx="224">
                  <c:v>32267</c:v>
                </c:pt>
                <c:pt idx="225">
                  <c:v>29186</c:v>
                </c:pt>
                <c:pt idx="226">
                  <c:v>20239</c:v>
                </c:pt>
                <c:pt idx="227">
                  <c:v>17336</c:v>
                </c:pt>
                <c:pt idx="228">
                  <c:v>25400</c:v>
                </c:pt>
                <c:pt idx="229">
                  <c:v>14948</c:v>
                </c:pt>
                <c:pt idx="230">
                  <c:v>19553</c:v>
                </c:pt>
                <c:pt idx="231">
                  <c:v>12161</c:v>
                </c:pt>
                <c:pt idx="232">
                  <c:v>17297</c:v>
                </c:pt>
                <c:pt idx="233">
                  <c:v>14098</c:v>
                </c:pt>
                <c:pt idx="234">
                  <c:v>18042</c:v>
                </c:pt>
                <c:pt idx="235">
                  <c:v>22229</c:v>
                </c:pt>
                <c:pt idx="236">
                  <c:v>28436</c:v>
                </c:pt>
                <c:pt idx="237">
                  <c:v>25676</c:v>
                </c:pt>
                <c:pt idx="238">
                  <c:v>14628</c:v>
                </c:pt>
                <c:pt idx="239">
                  <c:v>16556</c:v>
                </c:pt>
                <c:pt idx="240">
                  <c:v>18847</c:v>
                </c:pt>
                <c:pt idx="241">
                  <c:v>15653</c:v>
                </c:pt>
                <c:pt idx="242">
                  <c:v>12327</c:v>
                </c:pt>
                <c:pt idx="243">
                  <c:v>10193</c:v>
                </c:pt>
                <c:pt idx="244">
                  <c:v>17683</c:v>
                </c:pt>
                <c:pt idx="245">
                  <c:v>15869</c:v>
                </c:pt>
                <c:pt idx="246">
                  <c:v>17650</c:v>
                </c:pt>
                <c:pt idx="247">
                  <c:v>24819</c:v>
                </c:pt>
                <c:pt idx="248">
                  <c:v>33743</c:v>
                </c:pt>
                <c:pt idx="249">
                  <c:v>27530</c:v>
                </c:pt>
                <c:pt idx="250">
                  <c:v>13806</c:v>
                </c:pt>
                <c:pt idx="251">
                  <c:v>13448</c:v>
                </c:pt>
                <c:pt idx="252">
                  <c:v>13981</c:v>
                </c:pt>
                <c:pt idx="253">
                  <c:v>18561</c:v>
                </c:pt>
                <c:pt idx="254">
                  <c:v>8182</c:v>
                </c:pt>
                <c:pt idx="255">
                  <c:v>6251</c:v>
                </c:pt>
                <c:pt idx="256">
                  <c:v>11819</c:v>
                </c:pt>
                <c:pt idx="257">
                  <c:v>5708</c:v>
                </c:pt>
                <c:pt idx="258">
                  <c:v>9059</c:v>
                </c:pt>
                <c:pt idx="259">
                  <c:v>11568</c:v>
                </c:pt>
                <c:pt idx="260">
                  <c:v>14184</c:v>
                </c:pt>
                <c:pt idx="261">
                  <c:v>9995</c:v>
                </c:pt>
                <c:pt idx="262">
                  <c:v>7231</c:v>
                </c:pt>
                <c:pt idx="263">
                  <c:v>5427</c:v>
                </c:pt>
                <c:pt idx="264">
                  <c:v>11579</c:v>
                </c:pt>
                <c:pt idx="265">
                  <c:v>7830</c:v>
                </c:pt>
                <c:pt idx="266">
                  <c:v>6264</c:v>
                </c:pt>
                <c:pt idx="267">
                  <c:v>4859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B8-47C3-A683-C688930E7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69960"/>
        <c:axId val="501482504"/>
      </c:barChart>
      <c:catAx>
        <c:axId val="14386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482504"/>
        <c:crosses val="autoZero"/>
        <c:auto val="1"/>
        <c:lblAlgn val="ctr"/>
        <c:lblOffset val="100"/>
        <c:noMultiLvlLbl val="0"/>
      </c:catAx>
      <c:valAx>
        <c:axId val="50148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001014864358873E-2"/>
          <c:y val="3.2189931122126182E-2"/>
          <c:w val="0.9239453366507735"/>
          <c:h val="0.817907935237212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'Análisis tendencia'!$E$1:$E$4</c:f>
              <c:strCache>
                <c:ptCount val="4"/>
                <c:pt idx="3">
                  <c:v>Salidas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tendencia'!$D$5:$D$248</c:f>
              <c:strCache>
                <c:ptCount val="244"/>
                <c:pt idx="0">
                  <c:v>Abr 26</c:v>
                </c:pt>
                <c:pt idx="1">
                  <c:v>Mar 26</c:v>
                </c:pt>
                <c:pt idx="2">
                  <c:v>Feb 26</c:v>
                </c:pt>
                <c:pt idx="3">
                  <c:v>Ene 26</c:v>
                </c:pt>
                <c:pt idx="4">
                  <c:v>Dic 25</c:v>
                </c:pt>
                <c:pt idx="5">
                  <c:v>Nov 25</c:v>
                </c:pt>
                <c:pt idx="6">
                  <c:v>Oct 25</c:v>
                </c:pt>
                <c:pt idx="7">
                  <c:v>Sep 25</c:v>
                </c:pt>
                <c:pt idx="8">
                  <c:v>Ago 25</c:v>
                </c:pt>
                <c:pt idx="9">
                  <c:v>Jul 25</c:v>
                </c:pt>
                <c:pt idx="10">
                  <c:v>Jun 25</c:v>
                </c:pt>
                <c:pt idx="11">
                  <c:v>May 25</c:v>
                </c:pt>
                <c:pt idx="12">
                  <c:v>Abr 25</c:v>
                </c:pt>
                <c:pt idx="13">
                  <c:v>Mar 25</c:v>
                </c:pt>
                <c:pt idx="14">
                  <c:v>Feb 25</c:v>
                </c:pt>
                <c:pt idx="15">
                  <c:v>Ene 25</c:v>
                </c:pt>
                <c:pt idx="16">
                  <c:v>Dic 24</c:v>
                </c:pt>
                <c:pt idx="17">
                  <c:v>Nov 24</c:v>
                </c:pt>
                <c:pt idx="18">
                  <c:v>Oct 24</c:v>
                </c:pt>
                <c:pt idx="19">
                  <c:v>Sep 24</c:v>
                </c:pt>
                <c:pt idx="20">
                  <c:v>Ago 24</c:v>
                </c:pt>
                <c:pt idx="21">
                  <c:v>Jul 24</c:v>
                </c:pt>
                <c:pt idx="22">
                  <c:v>Jun 24</c:v>
                </c:pt>
                <c:pt idx="23">
                  <c:v>May 24</c:v>
                </c:pt>
                <c:pt idx="24">
                  <c:v>Abr 24</c:v>
                </c:pt>
                <c:pt idx="25">
                  <c:v>Mar 24</c:v>
                </c:pt>
                <c:pt idx="26">
                  <c:v>Feb 24</c:v>
                </c:pt>
                <c:pt idx="27">
                  <c:v>Ene 24</c:v>
                </c:pt>
                <c:pt idx="28">
                  <c:v>Dic 23</c:v>
                </c:pt>
                <c:pt idx="29">
                  <c:v>Nov 23</c:v>
                </c:pt>
                <c:pt idx="30">
                  <c:v>Oct 23</c:v>
                </c:pt>
                <c:pt idx="31">
                  <c:v>Sep 23</c:v>
                </c:pt>
                <c:pt idx="32">
                  <c:v>Ago 23</c:v>
                </c:pt>
                <c:pt idx="33">
                  <c:v>Jul 23</c:v>
                </c:pt>
                <c:pt idx="34">
                  <c:v>Jun 23</c:v>
                </c:pt>
                <c:pt idx="35">
                  <c:v>May 23</c:v>
                </c:pt>
                <c:pt idx="36">
                  <c:v>Abr 23</c:v>
                </c:pt>
                <c:pt idx="37">
                  <c:v>Mar 23</c:v>
                </c:pt>
                <c:pt idx="38">
                  <c:v>Feb 23</c:v>
                </c:pt>
                <c:pt idx="39">
                  <c:v>Ene 23</c:v>
                </c:pt>
                <c:pt idx="40">
                  <c:v>Dic 22</c:v>
                </c:pt>
                <c:pt idx="41">
                  <c:v>Nov 22</c:v>
                </c:pt>
                <c:pt idx="42">
                  <c:v>Oct 22</c:v>
                </c:pt>
                <c:pt idx="43">
                  <c:v>Sep 22</c:v>
                </c:pt>
                <c:pt idx="44">
                  <c:v>Ago 22</c:v>
                </c:pt>
                <c:pt idx="45">
                  <c:v>Jul 22</c:v>
                </c:pt>
                <c:pt idx="46">
                  <c:v>Jun 22</c:v>
                </c:pt>
                <c:pt idx="47">
                  <c:v>May 22</c:v>
                </c:pt>
                <c:pt idx="48">
                  <c:v>Abr 22</c:v>
                </c:pt>
                <c:pt idx="49">
                  <c:v>Mar 22</c:v>
                </c:pt>
                <c:pt idx="50">
                  <c:v>Feb 22</c:v>
                </c:pt>
                <c:pt idx="51">
                  <c:v>Ene 22</c:v>
                </c:pt>
                <c:pt idx="52">
                  <c:v>dic-19</c:v>
                </c:pt>
                <c:pt idx="53">
                  <c:v>nov-19</c:v>
                </c:pt>
                <c:pt idx="54">
                  <c:v>oct-19</c:v>
                </c:pt>
                <c:pt idx="55">
                  <c:v>sep-19</c:v>
                </c:pt>
                <c:pt idx="56">
                  <c:v>ago-19</c:v>
                </c:pt>
                <c:pt idx="57">
                  <c:v>jul-19</c:v>
                </c:pt>
                <c:pt idx="58">
                  <c:v>jun-19</c:v>
                </c:pt>
                <c:pt idx="59">
                  <c:v>may-19</c:v>
                </c:pt>
                <c:pt idx="60">
                  <c:v>abr-19</c:v>
                </c:pt>
                <c:pt idx="61">
                  <c:v>mar-19</c:v>
                </c:pt>
                <c:pt idx="62">
                  <c:v>feb-19</c:v>
                </c:pt>
                <c:pt idx="63">
                  <c:v>ene-19</c:v>
                </c:pt>
                <c:pt idx="64">
                  <c:v>dic-18</c:v>
                </c:pt>
                <c:pt idx="65">
                  <c:v>nov-18</c:v>
                </c:pt>
                <c:pt idx="66">
                  <c:v>oct-18</c:v>
                </c:pt>
                <c:pt idx="67">
                  <c:v>sep-18</c:v>
                </c:pt>
                <c:pt idx="68">
                  <c:v>ago-18</c:v>
                </c:pt>
                <c:pt idx="69">
                  <c:v>jul-18</c:v>
                </c:pt>
                <c:pt idx="70">
                  <c:v>jun-18</c:v>
                </c:pt>
                <c:pt idx="71">
                  <c:v>may-18</c:v>
                </c:pt>
                <c:pt idx="72">
                  <c:v>abr-18</c:v>
                </c:pt>
                <c:pt idx="73">
                  <c:v>mar-18</c:v>
                </c:pt>
                <c:pt idx="74">
                  <c:v>feb-18</c:v>
                </c:pt>
                <c:pt idx="75">
                  <c:v>ene-18</c:v>
                </c:pt>
                <c:pt idx="76">
                  <c:v>dic-17</c:v>
                </c:pt>
                <c:pt idx="77">
                  <c:v>nov-17</c:v>
                </c:pt>
                <c:pt idx="78">
                  <c:v>oct-17</c:v>
                </c:pt>
                <c:pt idx="79">
                  <c:v>sep-17</c:v>
                </c:pt>
                <c:pt idx="80">
                  <c:v>ago-17</c:v>
                </c:pt>
                <c:pt idx="81">
                  <c:v>jul-17</c:v>
                </c:pt>
                <c:pt idx="82">
                  <c:v>jun-17</c:v>
                </c:pt>
                <c:pt idx="83">
                  <c:v>may-17</c:v>
                </c:pt>
                <c:pt idx="84">
                  <c:v>abr-17</c:v>
                </c:pt>
                <c:pt idx="85">
                  <c:v>mar-17</c:v>
                </c:pt>
                <c:pt idx="86">
                  <c:v>feb-17</c:v>
                </c:pt>
                <c:pt idx="87">
                  <c:v>ene-17</c:v>
                </c:pt>
                <c:pt idx="88">
                  <c:v>dic-16</c:v>
                </c:pt>
                <c:pt idx="89">
                  <c:v>nov-16</c:v>
                </c:pt>
                <c:pt idx="90">
                  <c:v>oct-16</c:v>
                </c:pt>
                <c:pt idx="91">
                  <c:v>sep-16</c:v>
                </c:pt>
                <c:pt idx="92">
                  <c:v>ago-16</c:v>
                </c:pt>
                <c:pt idx="93">
                  <c:v>jul-16</c:v>
                </c:pt>
                <c:pt idx="94">
                  <c:v>jun-16</c:v>
                </c:pt>
                <c:pt idx="95">
                  <c:v>may-16</c:v>
                </c:pt>
                <c:pt idx="96">
                  <c:v>abr-16</c:v>
                </c:pt>
                <c:pt idx="97">
                  <c:v>mar-16</c:v>
                </c:pt>
                <c:pt idx="98">
                  <c:v>feb-16</c:v>
                </c:pt>
                <c:pt idx="99">
                  <c:v>ene-16</c:v>
                </c:pt>
                <c:pt idx="100">
                  <c:v>dic-15</c:v>
                </c:pt>
                <c:pt idx="101">
                  <c:v>nov-15</c:v>
                </c:pt>
                <c:pt idx="102">
                  <c:v>oct-15</c:v>
                </c:pt>
                <c:pt idx="103">
                  <c:v>sep-15</c:v>
                </c:pt>
                <c:pt idx="104">
                  <c:v>ago-15</c:v>
                </c:pt>
                <c:pt idx="105">
                  <c:v>jul-15</c:v>
                </c:pt>
                <c:pt idx="106">
                  <c:v>jun-15</c:v>
                </c:pt>
                <c:pt idx="107">
                  <c:v>may-15</c:v>
                </c:pt>
                <c:pt idx="108">
                  <c:v>abr-15</c:v>
                </c:pt>
                <c:pt idx="109">
                  <c:v>mar-15</c:v>
                </c:pt>
                <c:pt idx="110">
                  <c:v>feb-15</c:v>
                </c:pt>
                <c:pt idx="111">
                  <c:v>ene-15</c:v>
                </c:pt>
                <c:pt idx="112">
                  <c:v>dic-14</c:v>
                </c:pt>
                <c:pt idx="113">
                  <c:v>nov-14</c:v>
                </c:pt>
                <c:pt idx="114">
                  <c:v>oct-14</c:v>
                </c:pt>
                <c:pt idx="115">
                  <c:v>sep-14</c:v>
                </c:pt>
                <c:pt idx="116">
                  <c:v>ago-14</c:v>
                </c:pt>
                <c:pt idx="117">
                  <c:v>jul-14</c:v>
                </c:pt>
                <c:pt idx="118">
                  <c:v>jun-14</c:v>
                </c:pt>
                <c:pt idx="119">
                  <c:v>may-14</c:v>
                </c:pt>
                <c:pt idx="120">
                  <c:v>abr-14</c:v>
                </c:pt>
                <c:pt idx="121">
                  <c:v>mar-14</c:v>
                </c:pt>
                <c:pt idx="122">
                  <c:v>feb-14</c:v>
                </c:pt>
                <c:pt idx="123">
                  <c:v>ene-14</c:v>
                </c:pt>
                <c:pt idx="124">
                  <c:v>dic-13</c:v>
                </c:pt>
                <c:pt idx="125">
                  <c:v>nov-13</c:v>
                </c:pt>
                <c:pt idx="126">
                  <c:v>oct-13</c:v>
                </c:pt>
                <c:pt idx="127">
                  <c:v>sep-13</c:v>
                </c:pt>
                <c:pt idx="128">
                  <c:v>ago-13</c:v>
                </c:pt>
                <c:pt idx="129">
                  <c:v>jul-13</c:v>
                </c:pt>
                <c:pt idx="130">
                  <c:v>jun-13</c:v>
                </c:pt>
                <c:pt idx="131">
                  <c:v>may-13</c:v>
                </c:pt>
                <c:pt idx="132">
                  <c:v>abr-13</c:v>
                </c:pt>
                <c:pt idx="133">
                  <c:v>mar-13</c:v>
                </c:pt>
                <c:pt idx="134">
                  <c:v>feb-13</c:v>
                </c:pt>
                <c:pt idx="135">
                  <c:v>ene-13</c:v>
                </c:pt>
                <c:pt idx="136">
                  <c:v>dic-12</c:v>
                </c:pt>
                <c:pt idx="137">
                  <c:v>nov-12</c:v>
                </c:pt>
                <c:pt idx="138">
                  <c:v>oct-12</c:v>
                </c:pt>
                <c:pt idx="139">
                  <c:v>sep-12</c:v>
                </c:pt>
                <c:pt idx="140">
                  <c:v>ago-12</c:v>
                </c:pt>
                <c:pt idx="141">
                  <c:v>jul-12</c:v>
                </c:pt>
                <c:pt idx="142">
                  <c:v>jun-12</c:v>
                </c:pt>
                <c:pt idx="143">
                  <c:v>may-12</c:v>
                </c:pt>
                <c:pt idx="144">
                  <c:v>abr-12</c:v>
                </c:pt>
                <c:pt idx="145">
                  <c:v>mar-12</c:v>
                </c:pt>
                <c:pt idx="146">
                  <c:v>feb-12</c:v>
                </c:pt>
                <c:pt idx="147">
                  <c:v>ene-12</c:v>
                </c:pt>
                <c:pt idx="148">
                  <c:v>dic-11</c:v>
                </c:pt>
                <c:pt idx="149">
                  <c:v>nov-11</c:v>
                </c:pt>
                <c:pt idx="150">
                  <c:v>oct-11</c:v>
                </c:pt>
                <c:pt idx="151">
                  <c:v>sep-11</c:v>
                </c:pt>
                <c:pt idx="152">
                  <c:v>ago-11</c:v>
                </c:pt>
                <c:pt idx="153">
                  <c:v>jul-11</c:v>
                </c:pt>
                <c:pt idx="154">
                  <c:v>jun-11</c:v>
                </c:pt>
                <c:pt idx="155">
                  <c:v>may-11</c:v>
                </c:pt>
                <c:pt idx="156">
                  <c:v>abr-11</c:v>
                </c:pt>
                <c:pt idx="157">
                  <c:v>mar-11</c:v>
                </c:pt>
                <c:pt idx="158">
                  <c:v>feb-11</c:v>
                </c:pt>
                <c:pt idx="159">
                  <c:v>ene-11</c:v>
                </c:pt>
                <c:pt idx="160">
                  <c:v>dic-10</c:v>
                </c:pt>
                <c:pt idx="161">
                  <c:v>nov-10</c:v>
                </c:pt>
                <c:pt idx="162">
                  <c:v>oct-10</c:v>
                </c:pt>
                <c:pt idx="163">
                  <c:v>sep-10</c:v>
                </c:pt>
                <c:pt idx="164">
                  <c:v>ago-10</c:v>
                </c:pt>
                <c:pt idx="165">
                  <c:v>jul-10</c:v>
                </c:pt>
                <c:pt idx="166">
                  <c:v>jun-10</c:v>
                </c:pt>
                <c:pt idx="167">
                  <c:v>may-10</c:v>
                </c:pt>
                <c:pt idx="168">
                  <c:v>abr-10</c:v>
                </c:pt>
                <c:pt idx="169">
                  <c:v>mar-10</c:v>
                </c:pt>
                <c:pt idx="170">
                  <c:v>feb-10</c:v>
                </c:pt>
                <c:pt idx="171">
                  <c:v>ene-10</c:v>
                </c:pt>
                <c:pt idx="172">
                  <c:v>dic-09</c:v>
                </c:pt>
                <c:pt idx="173">
                  <c:v>nov-09</c:v>
                </c:pt>
                <c:pt idx="174">
                  <c:v>oct-09</c:v>
                </c:pt>
                <c:pt idx="175">
                  <c:v>sep-09</c:v>
                </c:pt>
                <c:pt idx="176">
                  <c:v>ago-09</c:v>
                </c:pt>
                <c:pt idx="177">
                  <c:v>jul-09</c:v>
                </c:pt>
                <c:pt idx="178">
                  <c:v>jun-09</c:v>
                </c:pt>
                <c:pt idx="179">
                  <c:v>may-09</c:v>
                </c:pt>
                <c:pt idx="180">
                  <c:v>abr-09</c:v>
                </c:pt>
                <c:pt idx="181">
                  <c:v>mar-09</c:v>
                </c:pt>
                <c:pt idx="182">
                  <c:v>feb-09</c:v>
                </c:pt>
                <c:pt idx="183">
                  <c:v>ene-09</c:v>
                </c:pt>
                <c:pt idx="184">
                  <c:v>dic-08</c:v>
                </c:pt>
                <c:pt idx="185">
                  <c:v>nov-08</c:v>
                </c:pt>
                <c:pt idx="186">
                  <c:v>oct-08</c:v>
                </c:pt>
                <c:pt idx="187">
                  <c:v>sep-08</c:v>
                </c:pt>
                <c:pt idx="188">
                  <c:v>ago-08</c:v>
                </c:pt>
                <c:pt idx="189">
                  <c:v>jul-08</c:v>
                </c:pt>
                <c:pt idx="190">
                  <c:v>jun-08</c:v>
                </c:pt>
                <c:pt idx="191">
                  <c:v>may-08</c:v>
                </c:pt>
                <c:pt idx="192">
                  <c:v>abr-08</c:v>
                </c:pt>
                <c:pt idx="193">
                  <c:v>mar-08</c:v>
                </c:pt>
                <c:pt idx="194">
                  <c:v>feb-08</c:v>
                </c:pt>
                <c:pt idx="195">
                  <c:v>ene-08</c:v>
                </c:pt>
                <c:pt idx="196">
                  <c:v>dic-07</c:v>
                </c:pt>
                <c:pt idx="197">
                  <c:v>nov-07</c:v>
                </c:pt>
                <c:pt idx="198">
                  <c:v>oct-07</c:v>
                </c:pt>
                <c:pt idx="199">
                  <c:v>sep-07</c:v>
                </c:pt>
                <c:pt idx="200">
                  <c:v>ago-07</c:v>
                </c:pt>
                <c:pt idx="201">
                  <c:v>jul-07</c:v>
                </c:pt>
                <c:pt idx="202">
                  <c:v>jun-07</c:v>
                </c:pt>
                <c:pt idx="203">
                  <c:v>may-07</c:v>
                </c:pt>
                <c:pt idx="204">
                  <c:v>abr-07</c:v>
                </c:pt>
                <c:pt idx="205">
                  <c:v>mar-07</c:v>
                </c:pt>
                <c:pt idx="206">
                  <c:v>feb-07</c:v>
                </c:pt>
                <c:pt idx="207">
                  <c:v>ene-07</c:v>
                </c:pt>
                <c:pt idx="208">
                  <c:v>dic-06</c:v>
                </c:pt>
                <c:pt idx="209">
                  <c:v>nov-06</c:v>
                </c:pt>
                <c:pt idx="210">
                  <c:v>oct-06</c:v>
                </c:pt>
                <c:pt idx="211">
                  <c:v>sep-06</c:v>
                </c:pt>
                <c:pt idx="212">
                  <c:v>ago-06</c:v>
                </c:pt>
                <c:pt idx="213">
                  <c:v>jul-06</c:v>
                </c:pt>
                <c:pt idx="214">
                  <c:v>jun-06</c:v>
                </c:pt>
                <c:pt idx="215">
                  <c:v>may-06</c:v>
                </c:pt>
                <c:pt idx="216">
                  <c:v>abr-06</c:v>
                </c:pt>
                <c:pt idx="217">
                  <c:v>mar-06</c:v>
                </c:pt>
                <c:pt idx="218">
                  <c:v>feb-06</c:v>
                </c:pt>
                <c:pt idx="219">
                  <c:v>ene-06</c:v>
                </c:pt>
                <c:pt idx="220">
                  <c:v>dic-05</c:v>
                </c:pt>
                <c:pt idx="221">
                  <c:v>nov-05</c:v>
                </c:pt>
                <c:pt idx="222">
                  <c:v>oct-05</c:v>
                </c:pt>
                <c:pt idx="223">
                  <c:v>sep-05</c:v>
                </c:pt>
                <c:pt idx="224">
                  <c:v>ago-05</c:v>
                </c:pt>
                <c:pt idx="225">
                  <c:v>jul-05</c:v>
                </c:pt>
                <c:pt idx="226">
                  <c:v>jun-05</c:v>
                </c:pt>
                <c:pt idx="227">
                  <c:v>may-05</c:v>
                </c:pt>
                <c:pt idx="228">
                  <c:v>abr-05</c:v>
                </c:pt>
                <c:pt idx="229">
                  <c:v>mar-05</c:v>
                </c:pt>
                <c:pt idx="230">
                  <c:v>feb-05</c:v>
                </c:pt>
                <c:pt idx="231">
                  <c:v>ene-05</c:v>
                </c:pt>
                <c:pt idx="232">
                  <c:v>dic-04</c:v>
                </c:pt>
                <c:pt idx="233">
                  <c:v>nov-04</c:v>
                </c:pt>
                <c:pt idx="234">
                  <c:v>oct-04</c:v>
                </c:pt>
                <c:pt idx="235">
                  <c:v>sep-04</c:v>
                </c:pt>
                <c:pt idx="236">
                  <c:v>ago-04</c:v>
                </c:pt>
                <c:pt idx="237">
                  <c:v>jul-04</c:v>
                </c:pt>
                <c:pt idx="238">
                  <c:v>jun-04</c:v>
                </c:pt>
                <c:pt idx="239">
                  <c:v>may-04</c:v>
                </c:pt>
                <c:pt idx="240">
                  <c:v>abr-04</c:v>
                </c:pt>
                <c:pt idx="241">
                  <c:v>mar-04</c:v>
                </c:pt>
                <c:pt idx="242">
                  <c:v>feb-04</c:v>
                </c:pt>
                <c:pt idx="243">
                  <c:v>ene-04</c:v>
                </c:pt>
              </c:strCache>
            </c:strRef>
          </c:cat>
          <c:val>
            <c:numRef>
              <c:f>'Análisis tendencia'!$E$5:$E$248</c:f>
              <c:numCache>
                <c:formatCode>#,##0_);\(#,##0\)</c:formatCode>
                <c:ptCount val="244"/>
                <c:pt idx="0">
                  <c:v>31159</c:v>
                </c:pt>
                <c:pt idx="1">
                  <c:v>27450</c:v>
                </c:pt>
                <c:pt idx="2">
                  <c:v>21719</c:v>
                </c:pt>
                <c:pt idx="3">
                  <c:v>23695</c:v>
                </c:pt>
                <c:pt idx="4">
                  <c:v>25076</c:v>
                </c:pt>
                <c:pt idx="5">
                  <c:v>24038</c:v>
                </c:pt>
                <c:pt idx="6">
                  <c:v>33094</c:v>
                </c:pt>
                <c:pt idx="7">
                  <c:v>30295</c:v>
                </c:pt>
                <c:pt idx="8">
                  <c:v>36790</c:v>
                </c:pt>
                <c:pt idx="9">
                  <c:v>36520</c:v>
                </c:pt>
                <c:pt idx="10">
                  <c:v>31883</c:v>
                </c:pt>
                <c:pt idx="11">
                  <c:v>32119</c:v>
                </c:pt>
                <c:pt idx="12">
                  <c:v>34373</c:v>
                </c:pt>
                <c:pt idx="13">
                  <c:v>26445</c:v>
                </c:pt>
                <c:pt idx="14">
                  <c:v>21807</c:v>
                </c:pt>
                <c:pt idx="15">
                  <c:v>22859</c:v>
                </c:pt>
                <c:pt idx="16">
                  <c:v>26713</c:v>
                </c:pt>
                <c:pt idx="17">
                  <c:v>24075</c:v>
                </c:pt>
                <c:pt idx="18">
                  <c:v>30632</c:v>
                </c:pt>
                <c:pt idx="19">
                  <c:v>31254</c:v>
                </c:pt>
                <c:pt idx="20">
                  <c:v>35186</c:v>
                </c:pt>
                <c:pt idx="21">
                  <c:v>34007</c:v>
                </c:pt>
                <c:pt idx="22">
                  <c:v>33781</c:v>
                </c:pt>
                <c:pt idx="23">
                  <c:v>30385</c:v>
                </c:pt>
                <c:pt idx="24">
                  <c:v>29458</c:v>
                </c:pt>
                <c:pt idx="25">
                  <c:v>27621</c:v>
                </c:pt>
                <c:pt idx="26">
                  <c:v>20941</c:v>
                </c:pt>
                <c:pt idx="27">
                  <c:v>23338</c:v>
                </c:pt>
                <c:pt idx="28">
                  <c:v>24925</c:v>
                </c:pt>
                <c:pt idx="29">
                  <c:v>20567</c:v>
                </c:pt>
                <c:pt idx="30">
                  <c:v>29371</c:v>
                </c:pt>
                <c:pt idx="31">
                  <c:v>30245</c:v>
                </c:pt>
                <c:pt idx="32">
                  <c:v>36717</c:v>
                </c:pt>
                <c:pt idx="33">
                  <c:v>36009</c:v>
                </c:pt>
                <c:pt idx="34">
                  <c:v>30584</c:v>
                </c:pt>
                <c:pt idx="35">
                  <c:v>27295</c:v>
                </c:pt>
                <c:pt idx="36">
                  <c:v>32288</c:v>
                </c:pt>
                <c:pt idx="37">
                  <c:v>27639</c:v>
                </c:pt>
                <c:pt idx="38">
                  <c:v>22621</c:v>
                </c:pt>
                <c:pt idx="39">
                  <c:v>25886</c:v>
                </c:pt>
                <c:pt idx="40">
                  <c:v>26703</c:v>
                </c:pt>
                <c:pt idx="41">
                  <c:v>22780</c:v>
                </c:pt>
                <c:pt idx="42">
                  <c:v>29313</c:v>
                </c:pt>
                <c:pt idx="43">
                  <c:v>29796</c:v>
                </c:pt>
                <c:pt idx="44">
                  <c:v>36296</c:v>
                </c:pt>
                <c:pt idx="45">
                  <c:v>35141</c:v>
                </c:pt>
                <c:pt idx="46">
                  <c:v>33165</c:v>
                </c:pt>
                <c:pt idx="47">
                  <c:v>25377</c:v>
                </c:pt>
                <c:pt idx="48">
                  <c:v>27046</c:v>
                </c:pt>
                <c:pt idx="49">
                  <c:v>22386</c:v>
                </c:pt>
                <c:pt idx="50">
                  <c:v>14343</c:v>
                </c:pt>
                <c:pt idx="51">
                  <c:v>13844</c:v>
                </c:pt>
                <c:pt idx="52">
                  <c:v>13724</c:v>
                </c:pt>
                <c:pt idx="53">
                  <c:v>12572</c:v>
                </c:pt>
                <c:pt idx="54">
                  <c:v>14700</c:v>
                </c:pt>
                <c:pt idx="55">
                  <c:v>17302</c:v>
                </c:pt>
                <c:pt idx="56">
                  <c:v>19108</c:v>
                </c:pt>
                <c:pt idx="57">
                  <c:v>19649</c:v>
                </c:pt>
                <c:pt idx="58">
                  <c:v>16767</c:v>
                </c:pt>
                <c:pt idx="59">
                  <c:v>13142</c:v>
                </c:pt>
                <c:pt idx="60">
                  <c:v>14930</c:v>
                </c:pt>
                <c:pt idx="61">
                  <c:v>11409</c:v>
                </c:pt>
                <c:pt idx="62">
                  <c:v>9620</c:v>
                </c:pt>
                <c:pt idx="63">
                  <c:v>11167</c:v>
                </c:pt>
                <c:pt idx="64">
                  <c:v>16328</c:v>
                </c:pt>
                <c:pt idx="65">
                  <c:v>13971</c:v>
                </c:pt>
                <c:pt idx="66">
                  <c:v>18515</c:v>
                </c:pt>
                <c:pt idx="67">
                  <c:v>25802</c:v>
                </c:pt>
                <c:pt idx="68">
                  <c:v>31972</c:v>
                </c:pt>
                <c:pt idx="69">
                  <c:v>31389</c:v>
                </c:pt>
                <c:pt idx="70">
                  <c:v>24899</c:v>
                </c:pt>
                <c:pt idx="71">
                  <c:v>17510</c:v>
                </c:pt>
                <c:pt idx="72">
                  <c:v>19385</c:v>
                </c:pt>
                <c:pt idx="73">
                  <c:v>18719</c:v>
                </c:pt>
                <c:pt idx="74">
                  <c:v>12755</c:v>
                </c:pt>
                <c:pt idx="75">
                  <c:v>14279</c:v>
                </c:pt>
                <c:pt idx="76">
                  <c:v>14934</c:v>
                </c:pt>
                <c:pt idx="77">
                  <c:v>13072</c:v>
                </c:pt>
                <c:pt idx="78">
                  <c:v>17387</c:v>
                </c:pt>
                <c:pt idx="79">
                  <c:v>20600</c:v>
                </c:pt>
                <c:pt idx="80">
                  <c:v>25498</c:v>
                </c:pt>
                <c:pt idx="81">
                  <c:v>25533</c:v>
                </c:pt>
                <c:pt idx="82">
                  <c:v>20528</c:v>
                </c:pt>
                <c:pt idx="83">
                  <c:v>16460</c:v>
                </c:pt>
                <c:pt idx="84">
                  <c:v>20818</c:v>
                </c:pt>
                <c:pt idx="85">
                  <c:v>19465</c:v>
                </c:pt>
                <c:pt idx="86">
                  <c:v>11536</c:v>
                </c:pt>
                <c:pt idx="87">
                  <c:v>13672</c:v>
                </c:pt>
                <c:pt idx="88">
                  <c:v>15864</c:v>
                </c:pt>
                <c:pt idx="89">
                  <c:v>13779</c:v>
                </c:pt>
                <c:pt idx="90">
                  <c:v>16399</c:v>
                </c:pt>
                <c:pt idx="91">
                  <c:v>17968</c:v>
                </c:pt>
                <c:pt idx="92">
                  <c:v>23513</c:v>
                </c:pt>
                <c:pt idx="93">
                  <c:v>22853</c:v>
                </c:pt>
                <c:pt idx="94">
                  <c:v>18948</c:v>
                </c:pt>
                <c:pt idx="95">
                  <c:v>16668</c:v>
                </c:pt>
                <c:pt idx="96">
                  <c:v>17864</c:v>
                </c:pt>
                <c:pt idx="97">
                  <c:v>19975</c:v>
                </c:pt>
                <c:pt idx="98">
                  <c:v>13800</c:v>
                </c:pt>
                <c:pt idx="99">
                  <c:v>14346</c:v>
                </c:pt>
                <c:pt idx="100">
                  <c:v>15744</c:v>
                </c:pt>
                <c:pt idx="101">
                  <c:v>12443</c:v>
                </c:pt>
                <c:pt idx="102">
                  <c:v>16722</c:v>
                </c:pt>
                <c:pt idx="103">
                  <c:v>20157</c:v>
                </c:pt>
                <c:pt idx="104">
                  <c:v>24750</c:v>
                </c:pt>
                <c:pt idx="105">
                  <c:v>23981</c:v>
                </c:pt>
                <c:pt idx="106">
                  <c:v>18492</c:v>
                </c:pt>
                <c:pt idx="107">
                  <c:v>15096</c:v>
                </c:pt>
                <c:pt idx="108">
                  <c:v>19560</c:v>
                </c:pt>
                <c:pt idx="109">
                  <c:v>18378</c:v>
                </c:pt>
                <c:pt idx="110">
                  <c:v>14950</c:v>
                </c:pt>
                <c:pt idx="111">
                  <c:v>14159</c:v>
                </c:pt>
                <c:pt idx="112">
                  <c:v>16343</c:v>
                </c:pt>
                <c:pt idx="113">
                  <c:v>15710</c:v>
                </c:pt>
                <c:pt idx="114">
                  <c:v>17097</c:v>
                </c:pt>
                <c:pt idx="115">
                  <c:v>18601</c:v>
                </c:pt>
                <c:pt idx="116">
                  <c:v>22681</c:v>
                </c:pt>
                <c:pt idx="117">
                  <c:v>24328</c:v>
                </c:pt>
                <c:pt idx="118">
                  <c:v>17243</c:v>
                </c:pt>
                <c:pt idx="119">
                  <c:v>14956</c:v>
                </c:pt>
                <c:pt idx="120">
                  <c:v>17963</c:v>
                </c:pt>
                <c:pt idx="121">
                  <c:v>17690</c:v>
                </c:pt>
                <c:pt idx="122">
                  <c:v>14123</c:v>
                </c:pt>
                <c:pt idx="123">
                  <c:v>13776</c:v>
                </c:pt>
                <c:pt idx="124">
                  <c:v>15122</c:v>
                </c:pt>
                <c:pt idx="125">
                  <c:v>16391</c:v>
                </c:pt>
                <c:pt idx="126">
                  <c:v>15966</c:v>
                </c:pt>
                <c:pt idx="127">
                  <c:v>18650</c:v>
                </c:pt>
                <c:pt idx="128">
                  <c:v>25391</c:v>
                </c:pt>
                <c:pt idx="129">
                  <c:v>23683</c:v>
                </c:pt>
                <c:pt idx="130">
                  <c:v>19016</c:v>
                </c:pt>
                <c:pt idx="131">
                  <c:v>16641</c:v>
                </c:pt>
                <c:pt idx="132">
                  <c:v>20189</c:v>
                </c:pt>
                <c:pt idx="133">
                  <c:v>22721</c:v>
                </c:pt>
                <c:pt idx="134">
                  <c:v>17171</c:v>
                </c:pt>
                <c:pt idx="135">
                  <c:v>18683</c:v>
                </c:pt>
                <c:pt idx="136">
                  <c:v>18201</c:v>
                </c:pt>
                <c:pt idx="137">
                  <c:v>19366</c:v>
                </c:pt>
                <c:pt idx="138">
                  <c:v>24878</c:v>
                </c:pt>
                <c:pt idx="139">
                  <c:v>21643</c:v>
                </c:pt>
                <c:pt idx="140">
                  <c:v>28701</c:v>
                </c:pt>
                <c:pt idx="141">
                  <c:v>27845</c:v>
                </c:pt>
                <c:pt idx="142">
                  <c:v>21487</c:v>
                </c:pt>
                <c:pt idx="143">
                  <c:v>18710</c:v>
                </c:pt>
                <c:pt idx="144">
                  <c:v>23598</c:v>
                </c:pt>
                <c:pt idx="145">
                  <c:v>25752</c:v>
                </c:pt>
                <c:pt idx="146">
                  <c:v>22395</c:v>
                </c:pt>
                <c:pt idx="147">
                  <c:v>21314</c:v>
                </c:pt>
                <c:pt idx="148">
                  <c:v>23722</c:v>
                </c:pt>
                <c:pt idx="149">
                  <c:v>24786</c:v>
                </c:pt>
                <c:pt idx="150">
                  <c:v>31524</c:v>
                </c:pt>
                <c:pt idx="151">
                  <c:v>31430</c:v>
                </c:pt>
                <c:pt idx="152">
                  <c:v>41560</c:v>
                </c:pt>
                <c:pt idx="153">
                  <c:v>39779</c:v>
                </c:pt>
                <c:pt idx="154">
                  <c:v>32546</c:v>
                </c:pt>
                <c:pt idx="155">
                  <c:v>30732</c:v>
                </c:pt>
                <c:pt idx="156">
                  <c:v>36935</c:v>
                </c:pt>
                <c:pt idx="157">
                  <c:v>33279</c:v>
                </c:pt>
                <c:pt idx="158">
                  <c:v>26394</c:v>
                </c:pt>
                <c:pt idx="159">
                  <c:v>22783</c:v>
                </c:pt>
                <c:pt idx="160">
                  <c:v>23425</c:v>
                </c:pt>
                <c:pt idx="161">
                  <c:v>27910</c:v>
                </c:pt>
                <c:pt idx="162">
                  <c:v>27036</c:v>
                </c:pt>
                <c:pt idx="163">
                  <c:v>27751</c:v>
                </c:pt>
                <c:pt idx="164">
                  <c:v>40660</c:v>
                </c:pt>
                <c:pt idx="165">
                  <c:v>37628</c:v>
                </c:pt>
                <c:pt idx="166">
                  <c:v>23833</c:v>
                </c:pt>
                <c:pt idx="167">
                  <c:v>20136</c:v>
                </c:pt>
                <c:pt idx="168">
                  <c:v>19615</c:v>
                </c:pt>
                <c:pt idx="169">
                  <c:v>22666</c:v>
                </c:pt>
                <c:pt idx="170">
                  <c:v>16998</c:v>
                </c:pt>
                <c:pt idx="171">
                  <c:v>15389</c:v>
                </c:pt>
                <c:pt idx="172">
                  <c:v>17258</c:v>
                </c:pt>
                <c:pt idx="173">
                  <c:v>18490</c:v>
                </c:pt>
                <c:pt idx="174">
                  <c:v>20508</c:v>
                </c:pt>
                <c:pt idx="175">
                  <c:v>23216</c:v>
                </c:pt>
                <c:pt idx="176">
                  <c:v>32101</c:v>
                </c:pt>
                <c:pt idx="177">
                  <c:v>31789</c:v>
                </c:pt>
                <c:pt idx="178">
                  <c:v>22282</c:v>
                </c:pt>
                <c:pt idx="179">
                  <c:v>18456</c:v>
                </c:pt>
                <c:pt idx="180">
                  <c:v>23635</c:v>
                </c:pt>
                <c:pt idx="181">
                  <c:v>21288</c:v>
                </c:pt>
                <c:pt idx="182">
                  <c:v>18856</c:v>
                </c:pt>
                <c:pt idx="183">
                  <c:v>16404</c:v>
                </c:pt>
                <c:pt idx="184">
                  <c:v>18050</c:v>
                </c:pt>
                <c:pt idx="185">
                  <c:v>19496</c:v>
                </c:pt>
                <c:pt idx="186">
                  <c:v>22095</c:v>
                </c:pt>
                <c:pt idx="187">
                  <c:v>28061</c:v>
                </c:pt>
                <c:pt idx="188">
                  <c:v>38109</c:v>
                </c:pt>
                <c:pt idx="189">
                  <c:v>36411</c:v>
                </c:pt>
                <c:pt idx="190">
                  <c:v>27166</c:v>
                </c:pt>
                <c:pt idx="191">
                  <c:v>22012</c:v>
                </c:pt>
                <c:pt idx="192">
                  <c:v>24002</c:v>
                </c:pt>
                <c:pt idx="193">
                  <c:v>27153</c:v>
                </c:pt>
                <c:pt idx="194">
                  <c:v>17375</c:v>
                </c:pt>
                <c:pt idx="195">
                  <c:v>17146</c:v>
                </c:pt>
                <c:pt idx="196">
                  <c:v>17985</c:v>
                </c:pt>
                <c:pt idx="197">
                  <c:v>17215</c:v>
                </c:pt>
                <c:pt idx="198">
                  <c:v>20869</c:v>
                </c:pt>
                <c:pt idx="199">
                  <c:v>23674</c:v>
                </c:pt>
                <c:pt idx="200">
                  <c:v>32199</c:v>
                </c:pt>
                <c:pt idx="201">
                  <c:v>30825</c:v>
                </c:pt>
                <c:pt idx="202">
                  <c:v>21952</c:v>
                </c:pt>
                <c:pt idx="203">
                  <c:v>16717</c:v>
                </c:pt>
                <c:pt idx="204">
                  <c:v>24770</c:v>
                </c:pt>
                <c:pt idx="205">
                  <c:v>15126</c:v>
                </c:pt>
                <c:pt idx="206">
                  <c:v>19889</c:v>
                </c:pt>
                <c:pt idx="207">
                  <c:v>13204</c:v>
                </c:pt>
                <c:pt idx="208">
                  <c:v>15110</c:v>
                </c:pt>
                <c:pt idx="209">
                  <c:v>14341</c:v>
                </c:pt>
                <c:pt idx="210">
                  <c:v>17849</c:v>
                </c:pt>
                <c:pt idx="211">
                  <c:v>21302</c:v>
                </c:pt>
                <c:pt idx="212">
                  <c:v>28547</c:v>
                </c:pt>
                <c:pt idx="213">
                  <c:v>27651</c:v>
                </c:pt>
                <c:pt idx="214">
                  <c:v>16040</c:v>
                </c:pt>
                <c:pt idx="215">
                  <c:v>15035</c:v>
                </c:pt>
                <c:pt idx="216">
                  <c:v>19047</c:v>
                </c:pt>
                <c:pt idx="217">
                  <c:v>15826</c:v>
                </c:pt>
                <c:pt idx="218">
                  <c:v>12931</c:v>
                </c:pt>
                <c:pt idx="219">
                  <c:v>11898</c:v>
                </c:pt>
                <c:pt idx="220">
                  <c:v>16236</c:v>
                </c:pt>
                <c:pt idx="221">
                  <c:v>16559</c:v>
                </c:pt>
                <c:pt idx="222">
                  <c:v>18212</c:v>
                </c:pt>
                <c:pt idx="223">
                  <c:v>23388</c:v>
                </c:pt>
                <c:pt idx="224">
                  <c:v>33735</c:v>
                </c:pt>
                <c:pt idx="225">
                  <c:v>29435</c:v>
                </c:pt>
                <c:pt idx="226">
                  <c:v>15156</c:v>
                </c:pt>
                <c:pt idx="227">
                  <c:v>12650</c:v>
                </c:pt>
                <c:pt idx="228">
                  <c:v>13888</c:v>
                </c:pt>
                <c:pt idx="229">
                  <c:v>19326</c:v>
                </c:pt>
                <c:pt idx="230">
                  <c:v>8665</c:v>
                </c:pt>
                <c:pt idx="231">
                  <c:v>6817</c:v>
                </c:pt>
                <c:pt idx="232">
                  <c:v>10752</c:v>
                </c:pt>
                <c:pt idx="233">
                  <c:v>5277</c:v>
                </c:pt>
                <c:pt idx="234">
                  <c:v>8745</c:v>
                </c:pt>
                <c:pt idx="235">
                  <c:v>10355</c:v>
                </c:pt>
                <c:pt idx="236">
                  <c:v>13716</c:v>
                </c:pt>
                <c:pt idx="237">
                  <c:v>11564</c:v>
                </c:pt>
                <c:pt idx="238">
                  <c:v>7249</c:v>
                </c:pt>
                <c:pt idx="239">
                  <c:v>5098</c:v>
                </c:pt>
                <c:pt idx="240">
                  <c:v>10843</c:v>
                </c:pt>
                <c:pt idx="241">
                  <c:v>8889</c:v>
                </c:pt>
                <c:pt idx="242">
                  <c:v>5904</c:v>
                </c:pt>
                <c:pt idx="243">
                  <c:v>5643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A-4D4E-BD20-B36C9DC5A811}"/>
            </c:ext>
          </c:extLst>
        </c:ser>
        <c:ser>
          <c:idx val="1"/>
          <c:order val="1"/>
          <c:tx>
            <c:strRef>
              <c:f>'Análisis tendencia'!$F$1:$F$4</c:f>
              <c:strCache>
                <c:ptCount val="4"/>
                <c:pt idx="3">
                  <c:v>Llegadas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'Análisis tendencia'!$D$5:$D$248</c:f>
              <c:strCache>
                <c:ptCount val="244"/>
                <c:pt idx="0">
                  <c:v>Abr 26</c:v>
                </c:pt>
                <c:pt idx="1">
                  <c:v>Mar 26</c:v>
                </c:pt>
                <c:pt idx="2">
                  <c:v>Feb 26</c:v>
                </c:pt>
                <c:pt idx="3">
                  <c:v>Ene 26</c:v>
                </c:pt>
                <c:pt idx="4">
                  <c:v>Dic 25</c:v>
                </c:pt>
                <c:pt idx="5">
                  <c:v>Nov 25</c:v>
                </c:pt>
                <c:pt idx="6">
                  <c:v>Oct 25</c:v>
                </c:pt>
                <c:pt idx="7">
                  <c:v>Sep 25</c:v>
                </c:pt>
                <c:pt idx="8">
                  <c:v>Ago 25</c:v>
                </c:pt>
                <c:pt idx="9">
                  <c:v>Jul 25</c:v>
                </c:pt>
                <c:pt idx="10">
                  <c:v>Jun 25</c:v>
                </c:pt>
                <c:pt idx="11">
                  <c:v>May 25</c:v>
                </c:pt>
                <c:pt idx="12">
                  <c:v>Abr 25</c:v>
                </c:pt>
                <c:pt idx="13">
                  <c:v>Mar 25</c:v>
                </c:pt>
                <c:pt idx="14">
                  <c:v>Feb 25</c:v>
                </c:pt>
                <c:pt idx="15">
                  <c:v>Ene 25</c:v>
                </c:pt>
                <c:pt idx="16">
                  <c:v>Dic 24</c:v>
                </c:pt>
                <c:pt idx="17">
                  <c:v>Nov 24</c:v>
                </c:pt>
                <c:pt idx="18">
                  <c:v>Oct 24</c:v>
                </c:pt>
                <c:pt idx="19">
                  <c:v>Sep 24</c:v>
                </c:pt>
                <c:pt idx="20">
                  <c:v>Ago 24</c:v>
                </c:pt>
                <c:pt idx="21">
                  <c:v>Jul 24</c:v>
                </c:pt>
                <c:pt idx="22">
                  <c:v>Jun 24</c:v>
                </c:pt>
                <c:pt idx="23">
                  <c:v>May 24</c:v>
                </c:pt>
                <c:pt idx="24">
                  <c:v>Abr 24</c:v>
                </c:pt>
                <c:pt idx="25">
                  <c:v>Mar 24</c:v>
                </c:pt>
                <c:pt idx="26">
                  <c:v>Feb 24</c:v>
                </c:pt>
                <c:pt idx="27">
                  <c:v>Ene 24</c:v>
                </c:pt>
                <c:pt idx="28">
                  <c:v>Dic 23</c:v>
                </c:pt>
                <c:pt idx="29">
                  <c:v>Nov 23</c:v>
                </c:pt>
                <c:pt idx="30">
                  <c:v>Oct 23</c:v>
                </c:pt>
                <c:pt idx="31">
                  <c:v>Sep 23</c:v>
                </c:pt>
                <c:pt idx="32">
                  <c:v>Ago 23</c:v>
                </c:pt>
                <c:pt idx="33">
                  <c:v>Jul 23</c:v>
                </c:pt>
                <c:pt idx="34">
                  <c:v>Jun 23</c:v>
                </c:pt>
                <c:pt idx="35">
                  <c:v>May 23</c:v>
                </c:pt>
                <c:pt idx="36">
                  <c:v>Abr 23</c:v>
                </c:pt>
                <c:pt idx="37">
                  <c:v>Mar 23</c:v>
                </c:pt>
                <c:pt idx="38">
                  <c:v>Feb 23</c:v>
                </c:pt>
                <c:pt idx="39">
                  <c:v>Ene 23</c:v>
                </c:pt>
                <c:pt idx="40">
                  <c:v>Dic 22</c:v>
                </c:pt>
                <c:pt idx="41">
                  <c:v>Nov 22</c:v>
                </c:pt>
                <c:pt idx="42">
                  <c:v>Oct 22</c:v>
                </c:pt>
                <c:pt idx="43">
                  <c:v>Sep 22</c:v>
                </c:pt>
                <c:pt idx="44">
                  <c:v>Ago 22</c:v>
                </c:pt>
                <c:pt idx="45">
                  <c:v>Jul 22</c:v>
                </c:pt>
                <c:pt idx="46">
                  <c:v>Jun 22</c:v>
                </c:pt>
                <c:pt idx="47">
                  <c:v>May 22</c:v>
                </c:pt>
                <c:pt idx="48">
                  <c:v>Abr 22</c:v>
                </c:pt>
                <c:pt idx="49">
                  <c:v>Mar 22</c:v>
                </c:pt>
                <c:pt idx="50">
                  <c:v>Feb 22</c:v>
                </c:pt>
                <c:pt idx="51">
                  <c:v>Ene 22</c:v>
                </c:pt>
                <c:pt idx="52">
                  <c:v>dic-19</c:v>
                </c:pt>
                <c:pt idx="53">
                  <c:v>nov-19</c:v>
                </c:pt>
                <c:pt idx="54">
                  <c:v>oct-19</c:v>
                </c:pt>
                <c:pt idx="55">
                  <c:v>sep-19</c:v>
                </c:pt>
                <c:pt idx="56">
                  <c:v>ago-19</c:v>
                </c:pt>
                <c:pt idx="57">
                  <c:v>jul-19</c:v>
                </c:pt>
                <c:pt idx="58">
                  <c:v>jun-19</c:v>
                </c:pt>
                <c:pt idx="59">
                  <c:v>may-19</c:v>
                </c:pt>
                <c:pt idx="60">
                  <c:v>abr-19</c:v>
                </c:pt>
                <c:pt idx="61">
                  <c:v>mar-19</c:v>
                </c:pt>
                <c:pt idx="62">
                  <c:v>feb-19</c:v>
                </c:pt>
                <c:pt idx="63">
                  <c:v>ene-19</c:v>
                </c:pt>
                <c:pt idx="64">
                  <c:v>dic-18</c:v>
                </c:pt>
                <c:pt idx="65">
                  <c:v>nov-18</c:v>
                </c:pt>
                <c:pt idx="66">
                  <c:v>oct-18</c:v>
                </c:pt>
                <c:pt idx="67">
                  <c:v>sep-18</c:v>
                </c:pt>
                <c:pt idx="68">
                  <c:v>ago-18</c:v>
                </c:pt>
                <c:pt idx="69">
                  <c:v>jul-18</c:v>
                </c:pt>
                <c:pt idx="70">
                  <c:v>jun-18</c:v>
                </c:pt>
                <c:pt idx="71">
                  <c:v>may-18</c:v>
                </c:pt>
                <c:pt idx="72">
                  <c:v>abr-18</c:v>
                </c:pt>
                <c:pt idx="73">
                  <c:v>mar-18</c:v>
                </c:pt>
                <c:pt idx="74">
                  <c:v>feb-18</c:v>
                </c:pt>
                <c:pt idx="75">
                  <c:v>ene-18</c:v>
                </c:pt>
                <c:pt idx="76">
                  <c:v>dic-17</c:v>
                </c:pt>
                <c:pt idx="77">
                  <c:v>nov-17</c:v>
                </c:pt>
                <c:pt idx="78">
                  <c:v>oct-17</c:v>
                </c:pt>
                <c:pt idx="79">
                  <c:v>sep-17</c:v>
                </c:pt>
                <c:pt idx="80">
                  <c:v>ago-17</c:v>
                </c:pt>
                <c:pt idx="81">
                  <c:v>jul-17</c:v>
                </c:pt>
                <c:pt idx="82">
                  <c:v>jun-17</c:v>
                </c:pt>
                <c:pt idx="83">
                  <c:v>may-17</c:v>
                </c:pt>
                <c:pt idx="84">
                  <c:v>abr-17</c:v>
                </c:pt>
                <c:pt idx="85">
                  <c:v>mar-17</c:v>
                </c:pt>
                <c:pt idx="86">
                  <c:v>feb-17</c:v>
                </c:pt>
                <c:pt idx="87">
                  <c:v>ene-17</c:v>
                </c:pt>
                <c:pt idx="88">
                  <c:v>dic-16</c:v>
                </c:pt>
                <c:pt idx="89">
                  <c:v>nov-16</c:v>
                </c:pt>
                <c:pt idx="90">
                  <c:v>oct-16</c:v>
                </c:pt>
                <c:pt idx="91">
                  <c:v>sep-16</c:v>
                </c:pt>
                <c:pt idx="92">
                  <c:v>ago-16</c:v>
                </c:pt>
                <c:pt idx="93">
                  <c:v>jul-16</c:v>
                </c:pt>
                <c:pt idx="94">
                  <c:v>jun-16</c:v>
                </c:pt>
                <c:pt idx="95">
                  <c:v>may-16</c:v>
                </c:pt>
                <c:pt idx="96">
                  <c:v>abr-16</c:v>
                </c:pt>
                <c:pt idx="97">
                  <c:v>mar-16</c:v>
                </c:pt>
                <c:pt idx="98">
                  <c:v>feb-16</c:v>
                </c:pt>
                <c:pt idx="99">
                  <c:v>ene-16</c:v>
                </c:pt>
                <c:pt idx="100">
                  <c:v>dic-15</c:v>
                </c:pt>
                <c:pt idx="101">
                  <c:v>nov-15</c:v>
                </c:pt>
                <c:pt idx="102">
                  <c:v>oct-15</c:v>
                </c:pt>
                <c:pt idx="103">
                  <c:v>sep-15</c:v>
                </c:pt>
                <c:pt idx="104">
                  <c:v>ago-15</c:v>
                </c:pt>
                <c:pt idx="105">
                  <c:v>jul-15</c:v>
                </c:pt>
                <c:pt idx="106">
                  <c:v>jun-15</c:v>
                </c:pt>
                <c:pt idx="107">
                  <c:v>may-15</c:v>
                </c:pt>
                <c:pt idx="108">
                  <c:v>abr-15</c:v>
                </c:pt>
                <c:pt idx="109">
                  <c:v>mar-15</c:v>
                </c:pt>
                <c:pt idx="110">
                  <c:v>feb-15</c:v>
                </c:pt>
                <c:pt idx="111">
                  <c:v>ene-15</c:v>
                </c:pt>
                <c:pt idx="112">
                  <c:v>dic-14</c:v>
                </c:pt>
                <c:pt idx="113">
                  <c:v>nov-14</c:v>
                </c:pt>
                <c:pt idx="114">
                  <c:v>oct-14</c:v>
                </c:pt>
                <c:pt idx="115">
                  <c:v>sep-14</c:v>
                </c:pt>
                <c:pt idx="116">
                  <c:v>ago-14</c:v>
                </c:pt>
                <c:pt idx="117">
                  <c:v>jul-14</c:v>
                </c:pt>
                <c:pt idx="118">
                  <c:v>jun-14</c:v>
                </c:pt>
                <c:pt idx="119">
                  <c:v>may-14</c:v>
                </c:pt>
                <c:pt idx="120">
                  <c:v>abr-14</c:v>
                </c:pt>
                <c:pt idx="121">
                  <c:v>mar-14</c:v>
                </c:pt>
                <c:pt idx="122">
                  <c:v>feb-14</c:v>
                </c:pt>
                <c:pt idx="123">
                  <c:v>ene-14</c:v>
                </c:pt>
                <c:pt idx="124">
                  <c:v>dic-13</c:v>
                </c:pt>
                <c:pt idx="125">
                  <c:v>nov-13</c:v>
                </c:pt>
                <c:pt idx="126">
                  <c:v>oct-13</c:v>
                </c:pt>
                <c:pt idx="127">
                  <c:v>sep-13</c:v>
                </c:pt>
                <c:pt idx="128">
                  <c:v>ago-13</c:v>
                </c:pt>
                <c:pt idx="129">
                  <c:v>jul-13</c:v>
                </c:pt>
                <c:pt idx="130">
                  <c:v>jun-13</c:v>
                </c:pt>
                <c:pt idx="131">
                  <c:v>may-13</c:v>
                </c:pt>
                <c:pt idx="132">
                  <c:v>abr-13</c:v>
                </c:pt>
                <c:pt idx="133">
                  <c:v>mar-13</c:v>
                </c:pt>
                <c:pt idx="134">
                  <c:v>feb-13</c:v>
                </c:pt>
                <c:pt idx="135">
                  <c:v>ene-13</c:v>
                </c:pt>
                <c:pt idx="136">
                  <c:v>dic-12</c:v>
                </c:pt>
                <c:pt idx="137">
                  <c:v>nov-12</c:v>
                </c:pt>
                <c:pt idx="138">
                  <c:v>oct-12</c:v>
                </c:pt>
                <c:pt idx="139">
                  <c:v>sep-12</c:v>
                </c:pt>
                <c:pt idx="140">
                  <c:v>ago-12</c:v>
                </c:pt>
                <c:pt idx="141">
                  <c:v>jul-12</c:v>
                </c:pt>
                <c:pt idx="142">
                  <c:v>jun-12</c:v>
                </c:pt>
                <c:pt idx="143">
                  <c:v>may-12</c:v>
                </c:pt>
                <c:pt idx="144">
                  <c:v>abr-12</c:v>
                </c:pt>
                <c:pt idx="145">
                  <c:v>mar-12</c:v>
                </c:pt>
                <c:pt idx="146">
                  <c:v>feb-12</c:v>
                </c:pt>
                <c:pt idx="147">
                  <c:v>ene-12</c:v>
                </c:pt>
                <c:pt idx="148">
                  <c:v>dic-11</c:v>
                </c:pt>
                <c:pt idx="149">
                  <c:v>nov-11</c:v>
                </c:pt>
                <c:pt idx="150">
                  <c:v>oct-11</c:v>
                </c:pt>
                <c:pt idx="151">
                  <c:v>sep-11</c:v>
                </c:pt>
                <c:pt idx="152">
                  <c:v>ago-11</c:v>
                </c:pt>
                <c:pt idx="153">
                  <c:v>jul-11</c:v>
                </c:pt>
                <c:pt idx="154">
                  <c:v>jun-11</c:v>
                </c:pt>
                <c:pt idx="155">
                  <c:v>may-11</c:v>
                </c:pt>
                <c:pt idx="156">
                  <c:v>abr-11</c:v>
                </c:pt>
                <c:pt idx="157">
                  <c:v>mar-11</c:v>
                </c:pt>
                <c:pt idx="158">
                  <c:v>feb-11</c:v>
                </c:pt>
                <c:pt idx="159">
                  <c:v>ene-11</c:v>
                </c:pt>
                <c:pt idx="160">
                  <c:v>dic-10</c:v>
                </c:pt>
                <c:pt idx="161">
                  <c:v>nov-10</c:v>
                </c:pt>
                <c:pt idx="162">
                  <c:v>oct-10</c:v>
                </c:pt>
                <c:pt idx="163">
                  <c:v>sep-10</c:v>
                </c:pt>
                <c:pt idx="164">
                  <c:v>ago-10</c:v>
                </c:pt>
                <c:pt idx="165">
                  <c:v>jul-10</c:v>
                </c:pt>
                <c:pt idx="166">
                  <c:v>jun-10</c:v>
                </c:pt>
                <c:pt idx="167">
                  <c:v>may-10</c:v>
                </c:pt>
                <c:pt idx="168">
                  <c:v>abr-10</c:v>
                </c:pt>
                <c:pt idx="169">
                  <c:v>mar-10</c:v>
                </c:pt>
                <c:pt idx="170">
                  <c:v>feb-10</c:v>
                </c:pt>
                <c:pt idx="171">
                  <c:v>ene-10</c:v>
                </c:pt>
                <c:pt idx="172">
                  <c:v>dic-09</c:v>
                </c:pt>
                <c:pt idx="173">
                  <c:v>nov-09</c:v>
                </c:pt>
                <c:pt idx="174">
                  <c:v>oct-09</c:v>
                </c:pt>
                <c:pt idx="175">
                  <c:v>sep-09</c:v>
                </c:pt>
                <c:pt idx="176">
                  <c:v>ago-09</c:v>
                </c:pt>
                <c:pt idx="177">
                  <c:v>jul-09</c:v>
                </c:pt>
                <c:pt idx="178">
                  <c:v>jun-09</c:v>
                </c:pt>
                <c:pt idx="179">
                  <c:v>may-09</c:v>
                </c:pt>
                <c:pt idx="180">
                  <c:v>abr-09</c:v>
                </c:pt>
                <c:pt idx="181">
                  <c:v>mar-09</c:v>
                </c:pt>
                <c:pt idx="182">
                  <c:v>feb-09</c:v>
                </c:pt>
                <c:pt idx="183">
                  <c:v>ene-09</c:v>
                </c:pt>
                <c:pt idx="184">
                  <c:v>dic-08</c:v>
                </c:pt>
                <c:pt idx="185">
                  <c:v>nov-08</c:v>
                </c:pt>
                <c:pt idx="186">
                  <c:v>oct-08</c:v>
                </c:pt>
                <c:pt idx="187">
                  <c:v>sep-08</c:v>
                </c:pt>
                <c:pt idx="188">
                  <c:v>ago-08</c:v>
                </c:pt>
                <c:pt idx="189">
                  <c:v>jul-08</c:v>
                </c:pt>
                <c:pt idx="190">
                  <c:v>jun-08</c:v>
                </c:pt>
                <c:pt idx="191">
                  <c:v>may-08</c:v>
                </c:pt>
                <c:pt idx="192">
                  <c:v>abr-08</c:v>
                </c:pt>
                <c:pt idx="193">
                  <c:v>mar-08</c:v>
                </c:pt>
                <c:pt idx="194">
                  <c:v>feb-08</c:v>
                </c:pt>
                <c:pt idx="195">
                  <c:v>ene-08</c:v>
                </c:pt>
                <c:pt idx="196">
                  <c:v>dic-07</c:v>
                </c:pt>
                <c:pt idx="197">
                  <c:v>nov-07</c:v>
                </c:pt>
                <c:pt idx="198">
                  <c:v>oct-07</c:v>
                </c:pt>
                <c:pt idx="199">
                  <c:v>sep-07</c:v>
                </c:pt>
                <c:pt idx="200">
                  <c:v>ago-07</c:v>
                </c:pt>
                <c:pt idx="201">
                  <c:v>jul-07</c:v>
                </c:pt>
                <c:pt idx="202">
                  <c:v>jun-07</c:v>
                </c:pt>
                <c:pt idx="203">
                  <c:v>may-07</c:v>
                </c:pt>
                <c:pt idx="204">
                  <c:v>abr-07</c:v>
                </c:pt>
                <c:pt idx="205">
                  <c:v>mar-07</c:v>
                </c:pt>
                <c:pt idx="206">
                  <c:v>feb-07</c:v>
                </c:pt>
                <c:pt idx="207">
                  <c:v>ene-07</c:v>
                </c:pt>
                <c:pt idx="208">
                  <c:v>dic-06</c:v>
                </c:pt>
                <c:pt idx="209">
                  <c:v>nov-06</c:v>
                </c:pt>
                <c:pt idx="210">
                  <c:v>oct-06</c:v>
                </c:pt>
                <c:pt idx="211">
                  <c:v>sep-06</c:v>
                </c:pt>
                <c:pt idx="212">
                  <c:v>ago-06</c:v>
                </c:pt>
                <c:pt idx="213">
                  <c:v>jul-06</c:v>
                </c:pt>
                <c:pt idx="214">
                  <c:v>jun-06</c:v>
                </c:pt>
                <c:pt idx="215">
                  <c:v>may-06</c:v>
                </c:pt>
                <c:pt idx="216">
                  <c:v>abr-06</c:v>
                </c:pt>
                <c:pt idx="217">
                  <c:v>mar-06</c:v>
                </c:pt>
                <c:pt idx="218">
                  <c:v>feb-06</c:v>
                </c:pt>
                <c:pt idx="219">
                  <c:v>ene-06</c:v>
                </c:pt>
                <c:pt idx="220">
                  <c:v>dic-05</c:v>
                </c:pt>
                <c:pt idx="221">
                  <c:v>nov-05</c:v>
                </c:pt>
                <c:pt idx="222">
                  <c:v>oct-05</c:v>
                </c:pt>
                <c:pt idx="223">
                  <c:v>sep-05</c:v>
                </c:pt>
                <c:pt idx="224">
                  <c:v>ago-05</c:v>
                </c:pt>
                <c:pt idx="225">
                  <c:v>jul-05</c:v>
                </c:pt>
                <c:pt idx="226">
                  <c:v>jun-05</c:v>
                </c:pt>
                <c:pt idx="227">
                  <c:v>may-05</c:v>
                </c:pt>
                <c:pt idx="228">
                  <c:v>abr-05</c:v>
                </c:pt>
                <c:pt idx="229">
                  <c:v>mar-05</c:v>
                </c:pt>
                <c:pt idx="230">
                  <c:v>feb-05</c:v>
                </c:pt>
                <c:pt idx="231">
                  <c:v>ene-05</c:v>
                </c:pt>
                <c:pt idx="232">
                  <c:v>dic-04</c:v>
                </c:pt>
                <c:pt idx="233">
                  <c:v>nov-04</c:v>
                </c:pt>
                <c:pt idx="234">
                  <c:v>oct-04</c:v>
                </c:pt>
                <c:pt idx="235">
                  <c:v>sep-04</c:v>
                </c:pt>
                <c:pt idx="236">
                  <c:v>ago-04</c:v>
                </c:pt>
                <c:pt idx="237">
                  <c:v>jul-04</c:v>
                </c:pt>
                <c:pt idx="238">
                  <c:v>jun-04</c:v>
                </c:pt>
                <c:pt idx="239">
                  <c:v>may-04</c:v>
                </c:pt>
                <c:pt idx="240">
                  <c:v>abr-04</c:v>
                </c:pt>
                <c:pt idx="241">
                  <c:v>mar-04</c:v>
                </c:pt>
                <c:pt idx="242">
                  <c:v>feb-04</c:v>
                </c:pt>
                <c:pt idx="243">
                  <c:v>ene-04</c:v>
                </c:pt>
              </c:strCache>
            </c:strRef>
          </c:cat>
          <c:val>
            <c:numRef>
              <c:f>'Análisis tendencia'!$F$5:$F$248</c:f>
              <c:numCache>
                <c:formatCode>#,##0_);\(#,##0\)</c:formatCode>
                <c:ptCount val="244"/>
                <c:pt idx="0">
                  <c:v>31904</c:v>
                </c:pt>
                <c:pt idx="1">
                  <c:v>26383</c:v>
                </c:pt>
                <c:pt idx="2">
                  <c:v>21766</c:v>
                </c:pt>
                <c:pt idx="3">
                  <c:v>22640</c:v>
                </c:pt>
                <c:pt idx="4">
                  <c:v>26116</c:v>
                </c:pt>
                <c:pt idx="5">
                  <c:v>23861</c:v>
                </c:pt>
                <c:pt idx="6">
                  <c:v>33174</c:v>
                </c:pt>
                <c:pt idx="7">
                  <c:v>32984</c:v>
                </c:pt>
                <c:pt idx="8">
                  <c:v>37144</c:v>
                </c:pt>
                <c:pt idx="9">
                  <c:v>34544</c:v>
                </c:pt>
                <c:pt idx="10">
                  <c:v>29410</c:v>
                </c:pt>
                <c:pt idx="11">
                  <c:v>32743</c:v>
                </c:pt>
                <c:pt idx="12">
                  <c:v>33270</c:v>
                </c:pt>
                <c:pt idx="13">
                  <c:v>25715</c:v>
                </c:pt>
                <c:pt idx="14">
                  <c:v>22052</c:v>
                </c:pt>
                <c:pt idx="15">
                  <c:v>21181</c:v>
                </c:pt>
                <c:pt idx="16">
                  <c:v>27911</c:v>
                </c:pt>
                <c:pt idx="17">
                  <c:v>24268</c:v>
                </c:pt>
                <c:pt idx="18">
                  <c:v>31329</c:v>
                </c:pt>
                <c:pt idx="19">
                  <c:v>33370</c:v>
                </c:pt>
                <c:pt idx="20">
                  <c:v>35950</c:v>
                </c:pt>
                <c:pt idx="21">
                  <c:v>32485</c:v>
                </c:pt>
                <c:pt idx="22">
                  <c:v>31224</c:v>
                </c:pt>
                <c:pt idx="23">
                  <c:v>30194</c:v>
                </c:pt>
                <c:pt idx="24">
                  <c:v>30071</c:v>
                </c:pt>
                <c:pt idx="25">
                  <c:v>26949</c:v>
                </c:pt>
                <c:pt idx="26">
                  <c:v>20982</c:v>
                </c:pt>
                <c:pt idx="27">
                  <c:v>22113</c:v>
                </c:pt>
                <c:pt idx="28">
                  <c:v>25139</c:v>
                </c:pt>
                <c:pt idx="29">
                  <c:v>19967</c:v>
                </c:pt>
                <c:pt idx="30">
                  <c:v>30350</c:v>
                </c:pt>
                <c:pt idx="31">
                  <c:v>31757</c:v>
                </c:pt>
                <c:pt idx="32">
                  <c:v>36279</c:v>
                </c:pt>
                <c:pt idx="33">
                  <c:v>35358</c:v>
                </c:pt>
                <c:pt idx="34">
                  <c:v>27863</c:v>
                </c:pt>
                <c:pt idx="35">
                  <c:v>27132</c:v>
                </c:pt>
                <c:pt idx="36">
                  <c:v>32260</c:v>
                </c:pt>
                <c:pt idx="37">
                  <c:v>26392</c:v>
                </c:pt>
                <c:pt idx="38">
                  <c:v>23591</c:v>
                </c:pt>
                <c:pt idx="39">
                  <c:v>25455</c:v>
                </c:pt>
                <c:pt idx="40">
                  <c:v>27638</c:v>
                </c:pt>
                <c:pt idx="41">
                  <c:v>22140</c:v>
                </c:pt>
                <c:pt idx="42">
                  <c:v>29538</c:v>
                </c:pt>
                <c:pt idx="43">
                  <c:v>31483</c:v>
                </c:pt>
                <c:pt idx="44">
                  <c:v>35856</c:v>
                </c:pt>
                <c:pt idx="45">
                  <c:v>34342</c:v>
                </c:pt>
                <c:pt idx="46">
                  <c:v>29094</c:v>
                </c:pt>
                <c:pt idx="47">
                  <c:v>25706</c:v>
                </c:pt>
                <c:pt idx="48">
                  <c:v>25908</c:v>
                </c:pt>
                <c:pt idx="49">
                  <c:v>22233</c:v>
                </c:pt>
                <c:pt idx="50">
                  <c:v>15279</c:v>
                </c:pt>
                <c:pt idx="51">
                  <c:v>12430</c:v>
                </c:pt>
                <c:pt idx="52">
                  <c:v>14374</c:v>
                </c:pt>
                <c:pt idx="53">
                  <c:v>11668</c:v>
                </c:pt>
                <c:pt idx="54">
                  <c:v>14554</c:v>
                </c:pt>
                <c:pt idx="55">
                  <c:v>17453</c:v>
                </c:pt>
                <c:pt idx="56">
                  <c:v>18616</c:v>
                </c:pt>
                <c:pt idx="57">
                  <c:v>19492</c:v>
                </c:pt>
                <c:pt idx="58">
                  <c:v>15297</c:v>
                </c:pt>
                <c:pt idx="59">
                  <c:v>13282</c:v>
                </c:pt>
                <c:pt idx="60">
                  <c:v>14693</c:v>
                </c:pt>
                <c:pt idx="61">
                  <c:v>11192</c:v>
                </c:pt>
                <c:pt idx="62">
                  <c:v>9718</c:v>
                </c:pt>
                <c:pt idx="63">
                  <c:v>10549</c:v>
                </c:pt>
                <c:pt idx="64">
                  <c:v>17518</c:v>
                </c:pt>
                <c:pt idx="65">
                  <c:v>13713</c:v>
                </c:pt>
                <c:pt idx="66">
                  <c:v>18316</c:v>
                </c:pt>
                <c:pt idx="67">
                  <c:v>26692</c:v>
                </c:pt>
                <c:pt idx="68">
                  <c:v>32311</c:v>
                </c:pt>
                <c:pt idx="69">
                  <c:v>30522</c:v>
                </c:pt>
                <c:pt idx="70">
                  <c:v>22605</c:v>
                </c:pt>
                <c:pt idx="71">
                  <c:v>16982</c:v>
                </c:pt>
                <c:pt idx="72">
                  <c:v>20583</c:v>
                </c:pt>
                <c:pt idx="73">
                  <c:v>16606</c:v>
                </c:pt>
                <c:pt idx="74">
                  <c:v>12922</c:v>
                </c:pt>
                <c:pt idx="75">
                  <c:v>12899</c:v>
                </c:pt>
                <c:pt idx="76">
                  <c:v>16044</c:v>
                </c:pt>
                <c:pt idx="77">
                  <c:v>12713</c:v>
                </c:pt>
                <c:pt idx="78">
                  <c:v>17323</c:v>
                </c:pt>
                <c:pt idx="79">
                  <c:v>21555</c:v>
                </c:pt>
                <c:pt idx="80">
                  <c:v>26488</c:v>
                </c:pt>
                <c:pt idx="81">
                  <c:v>24441</c:v>
                </c:pt>
                <c:pt idx="82">
                  <c:v>18799</c:v>
                </c:pt>
                <c:pt idx="83">
                  <c:v>16784</c:v>
                </c:pt>
                <c:pt idx="84">
                  <c:v>21435</c:v>
                </c:pt>
                <c:pt idx="85">
                  <c:v>18007</c:v>
                </c:pt>
                <c:pt idx="86">
                  <c:v>11524</c:v>
                </c:pt>
                <c:pt idx="87">
                  <c:v>12526</c:v>
                </c:pt>
                <c:pt idx="88">
                  <c:v>16499</c:v>
                </c:pt>
                <c:pt idx="89">
                  <c:v>12874</c:v>
                </c:pt>
                <c:pt idx="90">
                  <c:v>16045</c:v>
                </c:pt>
                <c:pt idx="91">
                  <c:v>18448</c:v>
                </c:pt>
                <c:pt idx="92">
                  <c:v>23266</c:v>
                </c:pt>
                <c:pt idx="93">
                  <c:v>22108</c:v>
                </c:pt>
                <c:pt idx="94">
                  <c:v>18228</c:v>
                </c:pt>
                <c:pt idx="95">
                  <c:v>16748</c:v>
                </c:pt>
                <c:pt idx="96">
                  <c:v>16973</c:v>
                </c:pt>
                <c:pt idx="97">
                  <c:v>19774</c:v>
                </c:pt>
                <c:pt idx="98">
                  <c:v>13377</c:v>
                </c:pt>
                <c:pt idx="99">
                  <c:v>12734</c:v>
                </c:pt>
                <c:pt idx="100">
                  <c:v>16998</c:v>
                </c:pt>
                <c:pt idx="101">
                  <c:v>11270</c:v>
                </c:pt>
                <c:pt idx="102">
                  <c:v>16275</c:v>
                </c:pt>
                <c:pt idx="103">
                  <c:v>20898</c:v>
                </c:pt>
                <c:pt idx="104">
                  <c:v>24556</c:v>
                </c:pt>
                <c:pt idx="105">
                  <c:v>23431</c:v>
                </c:pt>
                <c:pt idx="106">
                  <c:v>17110</c:v>
                </c:pt>
                <c:pt idx="107">
                  <c:v>15136</c:v>
                </c:pt>
                <c:pt idx="108">
                  <c:v>19420</c:v>
                </c:pt>
                <c:pt idx="109">
                  <c:v>17419</c:v>
                </c:pt>
                <c:pt idx="110">
                  <c:v>14806</c:v>
                </c:pt>
                <c:pt idx="111">
                  <c:v>12281</c:v>
                </c:pt>
                <c:pt idx="112">
                  <c:v>16883</c:v>
                </c:pt>
                <c:pt idx="113">
                  <c:v>14788</c:v>
                </c:pt>
                <c:pt idx="114">
                  <c:v>16676</c:v>
                </c:pt>
                <c:pt idx="115">
                  <c:v>19304</c:v>
                </c:pt>
                <c:pt idx="116">
                  <c:v>22878</c:v>
                </c:pt>
                <c:pt idx="117">
                  <c:v>24162</c:v>
                </c:pt>
                <c:pt idx="118">
                  <c:v>15369</c:v>
                </c:pt>
                <c:pt idx="119">
                  <c:v>15198</c:v>
                </c:pt>
                <c:pt idx="120">
                  <c:v>18091</c:v>
                </c:pt>
                <c:pt idx="121">
                  <c:v>17426</c:v>
                </c:pt>
                <c:pt idx="122">
                  <c:v>13831</c:v>
                </c:pt>
                <c:pt idx="123">
                  <c:v>11742</c:v>
                </c:pt>
                <c:pt idx="124">
                  <c:v>16781</c:v>
                </c:pt>
                <c:pt idx="125">
                  <c:v>15345</c:v>
                </c:pt>
                <c:pt idx="126">
                  <c:v>16136</c:v>
                </c:pt>
                <c:pt idx="127">
                  <c:v>19636</c:v>
                </c:pt>
                <c:pt idx="128">
                  <c:v>24999</c:v>
                </c:pt>
                <c:pt idx="129">
                  <c:v>23468</c:v>
                </c:pt>
                <c:pt idx="130">
                  <c:v>17963</c:v>
                </c:pt>
                <c:pt idx="131">
                  <c:v>17484</c:v>
                </c:pt>
                <c:pt idx="132">
                  <c:v>20997</c:v>
                </c:pt>
                <c:pt idx="133">
                  <c:v>21968</c:v>
                </c:pt>
                <c:pt idx="134">
                  <c:v>17076</c:v>
                </c:pt>
                <c:pt idx="135">
                  <c:v>16669</c:v>
                </c:pt>
                <c:pt idx="136">
                  <c:v>19995</c:v>
                </c:pt>
                <c:pt idx="137">
                  <c:v>18241</c:v>
                </c:pt>
                <c:pt idx="138">
                  <c:v>26014</c:v>
                </c:pt>
                <c:pt idx="139">
                  <c:v>23124</c:v>
                </c:pt>
                <c:pt idx="140">
                  <c:v>29193</c:v>
                </c:pt>
                <c:pt idx="141">
                  <c:v>27251</c:v>
                </c:pt>
                <c:pt idx="142">
                  <c:v>21123</c:v>
                </c:pt>
                <c:pt idx="143">
                  <c:v>19060</c:v>
                </c:pt>
                <c:pt idx="144">
                  <c:v>24587</c:v>
                </c:pt>
                <c:pt idx="145">
                  <c:v>25357</c:v>
                </c:pt>
                <c:pt idx="146">
                  <c:v>21850</c:v>
                </c:pt>
                <c:pt idx="147">
                  <c:v>20334</c:v>
                </c:pt>
                <c:pt idx="148">
                  <c:v>25664</c:v>
                </c:pt>
                <c:pt idx="149">
                  <c:v>23942</c:v>
                </c:pt>
                <c:pt idx="150">
                  <c:v>31081</c:v>
                </c:pt>
                <c:pt idx="151">
                  <c:v>33506</c:v>
                </c:pt>
                <c:pt idx="152">
                  <c:v>42462</c:v>
                </c:pt>
                <c:pt idx="153">
                  <c:v>39324</c:v>
                </c:pt>
                <c:pt idx="154">
                  <c:v>30607</c:v>
                </c:pt>
                <c:pt idx="155">
                  <c:v>32390</c:v>
                </c:pt>
                <c:pt idx="156">
                  <c:v>36370</c:v>
                </c:pt>
                <c:pt idx="157">
                  <c:v>32661</c:v>
                </c:pt>
                <c:pt idx="158">
                  <c:v>26103</c:v>
                </c:pt>
                <c:pt idx="159">
                  <c:v>20947</c:v>
                </c:pt>
                <c:pt idx="160">
                  <c:v>25132</c:v>
                </c:pt>
                <c:pt idx="161">
                  <c:v>26974</c:v>
                </c:pt>
                <c:pt idx="162">
                  <c:v>27310</c:v>
                </c:pt>
                <c:pt idx="163">
                  <c:v>29417</c:v>
                </c:pt>
                <c:pt idx="164">
                  <c:v>40976</c:v>
                </c:pt>
                <c:pt idx="165">
                  <c:v>36255</c:v>
                </c:pt>
                <c:pt idx="166">
                  <c:v>22563</c:v>
                </c:pt>
                <c:pt idx="167">
                  <c:v>20647</c:v>
                </c:pt>
                <c:pt idx="168">
                  <c:v>21287</c:v>
                </c:pt>
                <c:pt idx="169">
                  <c:v>21235</c:v>
                </c:pt>
                <c:pt idx="170">
                  <c:v>16399</c:v>
                </c:pt>
                <c:pt idx="171">
                  <c:v>14311</c:v>
                </c:pt>
                <c:pt idx="172">
                  <c:v>19301</c:v>
                </c:pt>
                <c:pt idx="173">
                  <c:v>18015</c:v>
                </c:pt>
                <c:pt idx="174">
                  <c:v>19976</c:v>
                </c:pt>
                <c:pt idx="175">
                  <c:v>25175</c:v>
                </c:pt>
                <c:pt idx="176">
                  <c:v>32517</c:v>
                </c:pt>
                <c:pt idx="177">
                  <c:v>30864</c:v>
                </c:pt>
                <c:pt idx="178">
                  <c:v>21194</c:v>
                </c:pt>
                <c:pt idx="179">
                  <c:v>19459</c:v>
                </c:pt>
                <c:pt idx="180">
                  <c:v>23871</c:v>
                </c:pt>
                <c:pt idx="181">
                  <c:v>21427</c:v>
                </c:pt>
                <c:pt idx="182">
                  <c:v>18725</c:v>
                </c:pt>
                <c:pt idx="183">
                  <c:v>14550</c:v>
                </c:pt>
                <c:pt idx="184">
                  <c:v>20069</c:v>
                </c:pt>
                <c:pt idx="185">
                  <c:v>18767</c:v>
                </c:pt>
                <c:pt idx="186">
                  <c:v>22234</c:v>
                </c:pt>
                <c:pt idx="187">
                  <c:v>28898</c:v>
                </c:pt>
                <c:pt idx="188">
                  <c:v>38176</c:v>
                </c:pt>
                <c:pt idx="189">
                  <c:v>36613</c:v>
                </c:pt>
                <c:pt idx="190">
                  <c:v>26445</c:v>
                </c:pt>
                <c:pt idx="191">
                  <c:v>23559</c:v>
                </c:pt>
                <c:pt idx="192">
                  <c:v>23673</c:v>
                </c:pt>
                <c:pt idx="193">
                  <c:v>27249</c:v>
                </c:pt>
                <c:pt idx="194">
                  <c:v>17024</c:v>
                </c:pt>
                <c:pt idx="195">
                  <c:v>15851</c:v>
                </c:pt>
                <c:pt idx="196">
                  <c:v>19916</c:v>
                </c:pt>
                <c:pt idx="197">
                  <c:v>17271</c:v>
                </c:pt>
                <c:pt idx="198">
                  <c:v>21380</c:v>
                </c:pt>
                <c:pt idx="199">
                  <c:v>25570</c:v>
                </c:pt>
                <c:pt idx="200">
                  <c:v>32267</c:v>
                </c:pt>
                <c:pt idx="201">
                  <c:v>29186</c:v>
                </c:pt>
                <c:pt idx="202">
                  <c:v>20239</c:v>
                </c:pt>
                <c:pt idx="203">
                  <c:v>17336</c:v>
                </c:pt>
                <c:pt idx="204">
                  <c:v>25400</c:v>
                </c:pt>
                <c:pt idx="205">
                  <c:v>14948</c:v>
                </c:pt>
                <c:pt idx="206">
                  <c:v>19553</c:v>
                </c:pt>
                <c:pt idx="207">
                  <c:v>12161</c:v>
                </c:pt>
                <c:pt idx="208">
                  <c:v>17297</c:v>
                </c:pt>
                <c:pt idx="209">
                  <c:v>14098</c:v>
                </c:pt>
                <c:pt idx="210">
                  <c:v>18042</c:v>
                </c:pt>
                <c:pt idx="211">
                  <c:v>22229</c:v>
                </c:pt>
                <c:pt idx="212">
                  <c:v>28436</c:v>
                </c:pt>
                <c:pt idx="213">
                  <c:v>25676</c:v>
                </c:pt>
                <c:pt idx="214">
                  <c:v>14628</c:v>
                </c:pt>
                <c:pt idx="215">
                  <c:v>16556</c:v>
                </c:pt>
                <c:pt idx="216">
                  <c:v>18847</c:v>
                </c:pt>
                <c:pt idx="217">
                  <c:v>15653</c:v>
                </c:pt>
                <c:pt idx="218">
                  <c:v>12327</c:v>
                </c:pt>
                <c:pt idx="219">
                  <c:v>10193</c:v>
                </c:pt>
                <c:pt idx="220">
                  <c:v>17683</c:v>
                </c:pt>
                <c:pt idx="221">
                  <c:v>15869</c:v>
                </c:pt>
                <c:pt idx="222">
                  <c:v>17650</c:v>
                </c:pt>
                <c:pt idx="223">
                  <c:v>24819</c:v>
                </c:pt>
                <c:pt idx="224">
                  <c:v>33743</c:v>
                </c:pt>
                <c:pt idx="225">
                  <c:v>27530</c:v>
                </c:pt>
                <c:pt idx="226">
                  <c:v>13806</c:v>
                </c:pt>
                <c:pt idx="227">
                  <c:v>13448</c:v>
                </c:pt>
                <c:pt idx="228">
                  <c:v>13981</c:v>
                </c:pt>
                <c:pt idx="229">
                  <c:v>18561</c:v>
                </c:pt>
                <c:pt idx="230">
                  <c:v>8182</c:v>
                </c:pt>
                <c:pt idx="231">
                  <c:v>6251</c:v>
                </c:pt>
                <c:pt idx="232">
                  <c:v>11819</c:v>
                </c:pt>
                <c:pt idx="233">
                  <c:v>5708</c:v>
                </c:pt>
                <c:pt idx="234">
                  <c:v>9059</c:v>
                </c:pt>
                <c:pt idx="235">
                  <c:v>11568</c:v>
                </c:pt>
                <c:pt idx="236">
                  <c:v>14184</c:v>
                </c:pt>
                <c:pt idx="237">
                  <c:v>9995</c:v>
                </c:pt>
                <c:pt idx="238">
                  <c:v>7231</c:v>
                </c:pt>
                <c:pt idx="239">
                  <c:v>5427</c:v>
                </c:pt>
                <c:pt idx="240">
                  <c:v>11579</c:v>
                </c:pt>
                <c:pt idx="241">
                  <c:v>7830</c:v>
                </c:pt>
                <c:pt idx="242">
                  <c:v>6264</c:v>
                </c:pt>
                <c:pt idx="243">
                  <c:v>4859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FA-4D4E-BD20-B36C9DC5A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869960"/>
        <c:axId val="501482504"/>
      </c:barChart>
      <c:catAx>
        <c:axId val="14386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482504"/>
        <c:crosses val="autoZero"/>
        <c:auto val="1"/>
        <c:lblAlgn val="ctr"/>
        <c:lblOffset val="100"/>
        <c:noMultiLvlLbl val="0"/>
      </c:catAx>
      <c:valAx>
        <c:axId val="50148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Salidas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'Análisis tendencia'!$D$5:$D$248</c:f>
              <c:strCache>
                <c:ptCount val="244"/>
                <c:pt idx="0">
                  <c:v>Abr 26</c:v>
                </c:pt>
                <c:pt idx="1">
                  <c:v>Mar 26</c:v>
                </c:pt>
                <c:pt idx="2">
                  <c:v>Feb 26</c:v>
                </c:pt>
                <c:pt idx="3">
                  <c:v>Ene 26</c:v>
                </c:pt>
                <c:pt idx="4">
                  <c:v>Dic 25</c:v>
                </c:pt>
                <c:pt idx="5">
                  <c:v>Nov 25</c:v>
                </c:pt>
                <c:pt idx="6">
                  <c:v>Oct 25</c:v>
                </c:pt>
                <c:pt idx="7">
                  <c:v>Sep 25</c:v>
                </c:pt>
                <c:pt idx="8">
                  <c:v>Ago 25</c:v>
                </c:pt>
                <c:pt idx="9">
                  <c:v>Jul 25</c:v>
                </c:pt>
                <c:pt idx="10">
                  <c:v>Jun 25</c:v>
                </c:pt>
                <c:pt idx="11">
                  <c:v>May 25</c:v>
                </c:pt>
                <c:pt idx="12">
                  <c:v>Abr 25</c:v>
                </c:pt>
                <c:pt idx="13">
                  <c:v>Mar 25</c:v>
                </c:pt>
                <c:pt idx="14">
                  <c:v>Feb 25</c:v>
                </c:pt>
                <c:pt idx="15">
                  <c:v>Ene 25</c:v>
                </c:pt>
                <c:pt idx="16">
                  <c:v>Dic 24</c:v>
                </c:pt>
                <c:pt idx="17">
                  <c:v>Nov 24</c:v>
                </c:pt>
                <c:pt idx="18">
                  <c:v>Oct 24</c:v>
                </c:pt>
                <c:pt idx="19">
                  <c:v>Sep 24</c:v>
                </c:pt>
                <c:pt idx="20">
                  <c:v>Ago 24</c:v>
                </c:pt>
                <c:pt idx="21">
                  <c:v>Jul 24</c:v>
                </c:pt>
                <c:pt idx="22">
                  <c:v>Jun 24</c:v>
                </c:pt>
                <c:pt idx="23">
                  <c:v>May 24</c:v>
                </c:pt>
                <c:pt idx="24">
                  <c:v>Abr 24</c:v>
                </c:pt>
                <c:pt idx="25">
                  <c:v>Mar 24</c:v>
                </c:pt>
                <c:pt idx="26">
                  <c:v>Feb 24</c:v>
                </c:pt>
                <c:pt idx="27">
                  <c:v>Ene 24</c:v>
                </c:pt>
                <c:pt idx="28">
                  <c:v>Dic 23</c:v>
                </c:pt>
                <c:pt idx="29">
                  <c:v>Nov 23</c:v>
                </c:pt>
                <c:pt idx="30">
                  <c:v>Oct 23</c:v>
                </c:pt>
                <c:pt idx="31">
                  <c:v>Sep 23</c:v>
                </c:pt>
                <c:pt idx="32">
                  <c:v>Ago 23</c:v>
                </c:pt>
                <c:pt idx="33">
                  <c:v>Jul 23</c:v>
                </c:pt>
                <c:pt idx="34">
                  <c:v>Jun 23</c:v>
                </c:pt>
                <c:pt idx="35">
                  <c:v>May 23</c:v>
                </c:pt>
                <c:pt idx="36">
                  <c:v>Abr 23</c:v>
                </c:pt>
                <c:pt idx="37">
                  <c:v>Mar 23</c:v>
                </c:pt>
                <c:pt idx="38">
                  <c:v>Feb 23</c:v>
                </c:pt>
                <c:pt idx="39">
                  <c:v>Ene 23</c:v>
                </c:pt>
                <c:pt idx="40">
                  <c:v>Dic 22</c:v>
                </c:pt>
                <c:pt idx="41">
                  <c:v>Nov 22</c:v>
                </c:pt>
                <c:pt idx="42">
                  <c:v>Oct 22</c:v>
                </c:pt>
                <c:pt idx="43">
                  <c:v>Sep 22</c:v>
                </c:pt>
                <c:pt idx="44">
                  <c:v>Ago 22</c:v>
                </c:pt>
                <c:pt idx="45">
                  <c:v>Jul 22</c:v>
                </c:pt>
                <c:pt idx="46">
                  <c:v>Jun 22</c:v>
                </c:pt>
                <c:pt idx="47">
                  <c:v>May 22</c:v>
                </c:pt>
                <c:pt idx="48">
                  <c:v>Abr 22</c:v>
                </c:pt>
                <c:pt idx="49">
                  <c:v>Mar 22</c:v>
                </c:pt>
                <c:pt idx="50">
                  <c:v>Feb 22</c:v>
                </c:pt>
                <c:pt idx="51">
                  <c:v>Ene 22</c:v>
                </c:pt>
                <c:pt idx="52">
                  <c:v>dic-19</c:v>
                </c:pt>
                <c:pt idx="53">
                  <c:v>nov-19</c:v>
                </c:pt>
                <c:pt idx="54">
                  <c:v>oct-19</c:v>
                </c:pt>
                <c:pt idx="55">
                  <c:v>sep-19</c:v>
                </c:pt>
                <c:pt idx="56">
                  <c:v>ago-19</c:v>
                </c:pt>
                <c:pt idx="57">
                  <c:v>jul-19</c:v>
                </c:pt>
                <c:pt idx="58">
                  <c:v>jun-19</c:v>
                </c:pt>
                <c:pt idx="59">
                  <c:v>may-19</c:v>
                </c:pt>
                <c:pt idx="60">
                  <c:v>abr-19</c:v>
                </c:pt>
                <c:pt idx="61">
                  <c:v>mar-19</c:v>
                </c:pt>
                <c:pt idx="62">
                  <c:v>feb-19</c:v>
                </c:pt>
                <c:pt idx="63">
                  <c:v>ene-19</c:v>
                </c:pt>
                <c:pt idx="64">
                  <c:v>dic-18</c:v>
                </c:pt>
                <c:pt idx="65">
                  <c:v>nov-18</c:v>
                </c:pt>
                <c:pt idx="66">
                  <c:v>oct-18</c:v>
                </c:pt>
                <c:pt idx="67">
                  <c:v>sep-18</c:v>
                </c:pt>
                <c:pt idx="68">
                  <c:v>ago-18</c:v>
                </c:pt>
                <c:pt idx="69">
                  <c:v>jul-18</c:v>
                </c:pt>
                <c:pt idx="70">
                  <c:v>jun-18</c:v>
                </c:pt>
                <c:pt idx="71">
                  <c:v>may-18</c:v>
                </c:pt>
                <c:pt idx="72">
                  <c:v>abr-18</c:v>
                </c:pt>
                <c:pt idx="73">
                  <c:v>mar-18</c:v>
                </c:pt>
                <c:pt idx="74">
                  <c:v>feb-18</c:v>
                </c:pt>
                <c:pt idx="75">
                  <c:v>ene-18</c:v>
                </c:pt>
                <c:pt idx="76">
                  <c:v>dic-17</c:v>
                </c:pt>
                <c:pt idx="77">
                  <c:v>nov-17</c:v>
                </c:pt>
                <c:pt idx="78">
                  <c:v>oct-17</c:v>
                </c:pt>
                <c:pt idx="79">
                  <c:v>sep-17</c:v>
                </c:pt>
                <c:pt idx="80">
                  <c:v>ago-17</c:v>
                </c:pt>
                <c:pt idx="81">
                  <c:v>jul-17</c:v>
                </c:pt>
                <c:pt idx="82">
                  <c:v>jun-17</c:v>
                </c:pt>
                <c:pt idx="83">
                  <c:v>may-17</c:v>
                </c:pt>
                <c:pt idx="84">
                  <c:v>abr-17</c:v>
                </c:pt>
                <c:pt idx="85">
                  <c:v>mar-17</c:v>
                </c:pt>
                <c:pt idx="86">
                  <c:v>feb-17</c:v>
                </c:pt>
                <c:pt idx="87">
                  <c:v>ene-17</c:v>
                </c:pt>
                <c:pt idx="88">
                  <c:v>dic-16</c:v>
                </c:pt>
                <c:pt idx="89">
                  <c:v>nov-16</c:v>
                </c:pt>
                <c:pt idx="90">
                  <c:v>oct-16</c:v>
                </c:pt>
                <c:pt idx="91">
                  <c:v>sep-16</c:v>
                </c:pt>
                <c:pt idx="92">
                  <c:v>ago-16</c:v>
                </c:pt>
                <c:pt idx="93">
                  <c:v>jul-16</c:v>
                </c:pt>
                <c:pt idx="94">
                  <c:v>jun-16</c:v>
                </c:pt>
                <c:pt idx="95">
                  <c:v>may-16</c:v>
                </c:pt>
                <c:pt idx="96">
                  <c:v>abr-16</c:v>
                </c:pt>
                <c:pt idx="97">
                  <c:v>mar-16</c:v>
                </c:pt>
                <c:pt idx="98">
                  <c:v>feb-16</c:v>
                </c:pt>
                <c:pt idx="99">
                  <c:v>ene-16</c:v>
                </c:pt>
                <c:pt idx="100">
                  <c:v>dic-15</c:v>
                </c:pt>
                <c:pt idx="101">
                  <c:v>nov-15</c:v>
                </c:pt>
                <c:pt idx="102">
                  <c:v>oct-15</c:v>
                </c:pt>
                <c:pt idx="103">
                  <c:v>sep-15</c:v>
                </c:pt>
                <c:pt idx="104">
                  <c:v>ago-15</c:v>
                </c:pt>
                <c:pt idx="105">
                  <c:v>jul-15</c:v>
                </c:pt>
                <c:pt idx="106">
                  <c:v>jun-15</c:v>
                </c:pt>
                <c:pt idx="107">
                  <c:v>may-15</c:v>
                </c:pt>
                <c:pt idx="108">
                  <c:v>abr-15</c:v>
                </c:pt>
                <c:pt idx="109">
                  <c:v>mar-15</c:v>
                </c:pt>
                <c:pt idx="110">
                  <c:v>feb-15</c:v>
                </c:pt>
                <c:pt idx="111">
                  <c:v>ene-15</c:v>
                </c:pt>
                <c:pt idx="112">
                  <c:v>dic-14</c:v>
                </c:pt>
                <c:pt idx="113">
                  <c:v>nov-14</c:v>
                </c:pt>
                <c:pt idx="114">
                  <c:v>oct-14</c:v>
                </c:pt>
                <c:pt idx="115">
                  <c:v>sep-14</c:v>
                </c:pt>
                <c:pt idx="116">
                  <c:v>ago-14</c:v>
                </c:pt>
                <c:pt idx="117">
                  <c:v>jul-14</c:v>
                </c:pt>
                <c:pt idx="118">
                  <c:v>jun-14</c:v>
                </c:pt>
                <c:pt idx="119">
                  <c:v>may-14</c:v>
                </c:pt>
                <c:pt idx="120">
                  <c:v>abr-14</c:v>
                </c:pt>
                <c:pt idx="121">
                  <c:v>mar-14</c:v>
                </c:pt>
                <c:pt idx="122">
                  <c:v>feb-14</c:v>
                </c:pt>
                <c:pt idx="123">
                  <c:v>ene-14</c:v>
                </c:pt>
                <c:pt idx="124">
                  <c:v>dic-13</c:v>
                </c:pt>
                <c:pt idx="125">
                  <c:v>nov-13</c:v>
                </c:pt>
                <c:pt idx="126">
                  <c:v>oct-13</c:v>
                </c:pt>
                <c:pt idx="127">
                  <c:v>sep-13</c:v>
                </c:pt>
                <c:pt idx="128">
                  <c:v>ago-13</c:v>
                </c:pt>
                <c:pt idx="129">
                  <c:v>jul-13</c:v>
                </c:pt>
                <c:pt idx="130">
                  <c:v>jun-13</c:v>
                </c:pt>
                <c:pt idx="131">
                  <c:v>may-13</c:v>
                </c:pt>
                <c:pt idx="132">
                  <c:v>abr-13</c:v>
                </c:pt>
                <c:pt idx="133">
                  <c:v>mar-13</c:v>
                </c:pt>
                <c:pt idx="134">
                  <c:v>feb-13</c:v>
                </c:pt>
                <c:pt idx="135">
                  <c:v>ene-13</c:v>
                </c:pt>
                <c:pt idx="136">
                  <c:v>dic-12</c:v>
                </c:pt>
                <c:pt idx="137">
                  <c:v>nov-12</c:v>
                </c:pt>
                <c:pt idx="138">
                  <c:v>oct-12</c:v>
                </c:pt>
                <c:pt idx="139">
                  <c:v>sep-12</c:v>
                </c:pt>
                <c:pt idx="140">
                  <c:v>ago-12</c:v>
                </c:pt>
                <c:pt idx="141">
                  <c:v>jul-12</c:v>
                </c:pt>
                <c:pt idx="142">
                  <c:v>jun-12</c:v>
                </c:pt>
                <c:pt idx="143">
                  <c:v>may-12</c:v>
                </c:pt>
                <c:pt idx="144">
                  <c:v>abr-12</c:v>
                </c:pt>
                <c:pt idx="145">
                  <c:v>mar-12</c:v>
                </c:pt>
                <c:pt idx="146">
                  <c:v>feb-12</c:v>
                </c:pt>
                <c:pt idx="147">
                  <c:v>ene-12</c:v>
                </c:pt>
                <c:pt idx="148">
                  <c:v>dic-11</c:v>
                </c:pt>
                <c:pt idx="149">
                  <c:v>nov-11</c:v>
                </c:pt>
                <c:pt idx="150">
                  <c:v>oct-11</c:v>
                </c:pt>
                <c:pt idx="151">
                  <c:v>sep-11</c:v>
                </c:pt>
                <c:pt idx="152">
                  <c:v>ago-11</c:v>
                </c:pt>
                <c:pt idx="153">
                  <c:v>jul-11</c:v>
                </c:pt>
                <c:pt idx="154">
                  <c:v>jun-11</c:v>
                </c:pt>
                <c:pt idx="155">
                  <c:v>may-11</c:v>
                </c:pt>
                <c:pt idx="156">
                  <c:v>abr-11</c:v>
                </c:pt>
                <c:pt idx="157">
                  <c:v>mar-11</c:v>
                </c:pt>
                <c:pt idx="158">
                  <c:v>feb-11</c:v>
                </c:pt>
                <c:pt idx="159">
                  <c:v>ene-11</c:v>
                </c:pt>
                <c:pt idx="160">
                  <c:v>dic-10</c:v>
                </c:pt>
                <c:pt idx="161">
                  <c:v>nov-10</c:v>
                </c:pt>
                <c:pt idx="162">
                  <c:v>oct-10</c:v>
                </c:pt>
                <c:pt idx="163">
                  <c:v>sep-10</c:v>
                </c:pt>
                <c:pt idx="164">
                  <c:v>ago-10</c:v>
                </c:pt>
                <c:pt idx="165">
                  <c:v>jul-10</c:v>
                </c:pt>
                <c:pt idx="166">
                  <c:v>jun-10</c:v>
                </c:pt>
                <c:pt idx="167">
                  <c:v>may-10</c:v>
                </c:pt>
                <c:pt idx="168">
                  <c:v>abr-10</c:v>
                </c:pt>
                <c:pt idx="169">
                  <c:v>mar-10</c:v>
                </c:pt>
                <c:pt idx="170">
                  <c:v>feb-10</c:v>
                </c:pt>
                <c:pt idx="171">
                  <c:v>ene-10</c:v>
                </c:pt>
                <c:pt idx="172">
                  <c:v>dic-09</c:v>
                </c:pt>
                <c:pt idx="173">
                  <c:v>nov-09</c:v>
                </c:pt>
                <c:pt idx="174">
                  <c:v>oct-09</c:v>
                </c:pt>
                <c:pt idx="175">
                  <c:v>sep-09</c:v>
                </c:pt>
                <c:pt idx="176">
                  <c:v>ago-09</c:v>
                </c:pt>
                <c:pt idx="177">
                  <c:v>jul-09</c:v>
                </c:pt>
                <c:pt idx="178">
                  <c:v>jun-09</c:v>
                </c:pt>
                <c:pt idx="179">
                  <c:v>may-09</c:v>
                </c:pt>
                <c:pt idx="180">
                  <c:v>abr-09</c:v>
                </c:pt>
                <c:pt idx="181">
                  <c:v>mar-09</c:v>
                </c:pt>
                <c:pt idx="182">
                  <c:v>feb-09</c:v>
                </c:pt>
                <c:pt idx="183">
                  <c:v>ene-09</c:v>
                </c:pt>
                <c:pt idx="184">
                  <c:v>dic-08</c:v>
                </c:pt>
                <c:pt idx="185">
                  <c:v>nov-08</c:v>
                </c:pt>
                <c:pt idx="186">
                  <c:v>oct-08</c:v>
                </c:pt>
                <c:pt idx="187">
                  <c:v>sep-08</c:v>
                </c:pt>
                <c:pt idx="188">
                  <c:v>ago-08</c:v>
                </c:pt>
                <c:pt idx="189">
                  <c:v>jul-08</c:v>
                </c:pt>
                <c:pt idx="190">
                  <c:v>jun-08</c:v>
                </c:pt>
                <c:pt idx="191">
                  <c:v>may-08</c:v>
                </c:pt>
                <c:pt idx="192">
                  <c:v>abr-08</c:v>
                </c:pt>
                <c:pt idx="193">
                  <c:v>mar-08</c:v>
                </c:pt>
                <c:pt idx="194">
                  <c:v>feb-08</c:v>
                </c:pt>
                <c:pt idx="195">
                  <c:v>ene-08</c:v>
                </c:pt>
                <c:pt idx="196">
                  <c:v>dic-07</c:v>
                </c:pt>
                <c:pt idx="197">
                  <c:v>nov-07</c:v>
                </c:pt>
                <c:pt idx="198">
                  <c:v>oct-07</c:v>
                </c:pt>
                <c:pt idx="199">
                  <c:v>sep-07</c:v>
                </c:pt>
                <c:pt idx="200">
                  <c:v>ago-07</c:v>
                </c:pt>
                <c:pt idx="201">
                  <c:v>jul-07</c:v>
                </c:pt>
                <c:pt idx="202">
                  <c:v>jun-07</c:v>
                </c:pt>
                <c:pt idx="203">
                  <c:v>may-07</c:v>
                </c:pt>
                <c:pt idx="204">
                  <c:v>abr-07</c:v>
                </c:pt>
                <c:pt idx="205">
                  <c:v>mar-07</c:v>
                </c:pt>
                <c:pt idx="206">
                  <c:v>feb-07</c:v>
                </c:pt>
                <c:pt idx="207">
                  <c:v>ene-07</c:v>
                </c:pt>
                <c:pt idx="208">
                  <c:v>dic-06</c:v>
                </c:pt>
                <c:pt idx="209">
                  <c:v>nov-06</c:v>
                </c:pt>
                <c:pt idx="210">
                  <c:v>oct-06</c:v>
                </c:pt>
                <c:pt idx="211">
                  <c:v>sep-06</c:v>
                </c:pt>
                <c:pt idx="212">
                  <c:v>ago-06</c:v>
                </c:pt>
                <c:pt idx="213">
                  <c:v>jul-06</c:v>
                </c:pt>
                <c:pt idx="214">
                  <c:v>jun-06</c:v>
                </c:pt>
                <c:pt idx="215">
                  <c:v>may-06</c:v>
                </c:pt>
                <c:pt idx="216">
                  <c:v>abr-06</c:v>
                </c:pt>
                <c:pt idx="217">
                  <c:v>mar-06</c:v>
                </c:pt>
                <c:pt idx="218">
                  <c:v>feb-06</c:v>
                </c:pt>
                <c:pt idx="219">
                  <c:v>ene-06</c:v>
                </c:pt>
                <c:pt idx="220">
                  <c:v>dic-05</c:v>
                </c:pt>
                <c:pt idx="221">
                  <c:v>nov-05</c:v>
                </c:pt>
                <c:pt idx="222">
                  <c:v>oct-05</c:v>
                </c:pt>
                <c:pt idx="223">
                  <c:v>sep-05</c:v>
                </c:pt>
                <c:pt idx="224">
                  <c:v>ago-05</c:v>
                </c:pt>
                <c:pt idx="225">
                  <c:v>jul-05</c:v>
                </c:pt>
                <c:pt idx="226">
                  <c:v>jun-05</c:v>
                </c:pt>
                <c:pt idx="227">
                  <c:v>may-05</c:v>
                </c:pt>
                <c:pt idx="228">
                  <c:v>abr-05</c:v>
                </c:pt>
                <c:pt idx="229">
                  <c:v>mar-05</c:v>
                </c:pt>
                <c:pt idx="230">
                  <c:v>feb-05</c:v>
                </c:pt>
                <c:pt idx="231">
                  <c:v>ene-05</c:v>
                </c:pt>
                <c:pt idx="232">
                  <c:v>dic-04</c:v>
                </c:pt>
                <c:pt idx="233">
                  <c:v>nov-04</c:v>
                </c:pt>
                <c:pt idx="234">
                  <c:v>oct-04</c:v>
                </c:pt>
                <c:pt idx="235">
                  <c:v>sep-04</c:v>
                </c:pt>
                <c:pt idx="236">
                  <c:v>ago-04</c:v>
                </c:pt>
                <c:pt idx="237">
                  <c:v>jul-04</c:v>
                </c:pt>
                <c:pt idx="238">
                  <c:v>jun-04</c:v>
                </c:pt>
                <c:pt idx="239">
                  <c:v>may-04</c:v>
                </c:pt>
                <c:pt idx="240">
                  <c:v>abr-04</c:v>
                </c:pt>
                <c:pt idx="241">
                  <c:v>mar-04</c:v>
                </c:pt>
                <c:pt idx="242">
                  <c:v>feb-04</c:v>
                </c:pt>
                <c:pt idx="243">
                  <c:v>ene-04</c:v>
                </c:pt>
              </c:strCache>
            </c:strRef>
          </c:cat>
          <c:val>
            <c:numRef>
              <c:f>'Análisis tendencia'!$E$5:$E$248</c:f>
              <c:numCache>
                <c:formatCode>#,##0_);\(#,##0\)</c:formatCode>
                <c:ptCount val="244"/>
                <c:pt idx="0">
                  <c:v>31159</c:v>
                </c:pt>
                <c:pt idx="1">
                  <c:v>27450</c:v>
                </c:pt>
                <c:pt idx="2">
                  <c:v>21719</c:v>
                </c:pt>
                <c:pt idx="3">
                  <c:v>23695</c:v>
                </c:pt>
                <c:pt idx="4">
                  <c:v>25076</c:v>
                </c:pt>
                <c:pt idx="5">
                  <c:v>24038</c:v>
                </c:pt>
                <c:pt idx="6">
                  <c:v>33094</c:v>
                </c:pt>
                <c:pt idx="7">
                  <c:v>30295</c:v>
                </c:pt>
                <c:pt idx="8">
                  <c:v>36790</c:v>
                </c:pt>
                <c:pt idx="9">
                  <c:v>36520</c:v>
                </c:pt>
                <c:pt idx="10">
                  <c:v>31883</c:v>
                </c:pt>
                <c:pt idx="11">
                  <c:v>32119</c:v>
                </c:pt>
                <c:pt idx="12">
                  <c:v>34373</c:v>
                </c:pt>
                <c:pt idx="13">
                  <c:v>26445</c:v>
                </c:pt>
                <c:pt idx="14">
                  <c:v>21807</c:v>
                </c:pt>
                <c:pt idx="15">
                  <c:v>22859</c:v>
                </c:pt>
                <c:pt idx="16">
                  <c:v>26713</c:v>
                </c:pt>
                <c:pt idx="17">
                  <c:v>24075</c:v>
                </c:pt>
                <c:pt idx="18">
                  <c:v>30632</c:v>
                </c:pt>
                <c:pt idx="19">
                  <c:v>31254</c:v>
                </c:pt>
                <c:pt idx="20">
                  <c:v>35186</c:v>
                </c:pt>
                <c:pt idx="21">
                  <c:v>34007</c:v>
                </c:pt>
                <c:pt idx="22">
                  <c:v>33781</c:v>
                </c:pt>
                <c:pt idx="23">
                  <c:v>30385</c:v>
                </c:pt>
                <c:pt idx="24">
                  <c:v>29458</c:v>
                </c:pt>
                <c:pt idx="25">
                  <c:v>27621</c:v>
                </c:pt>
                <c:pt idx="26">
                  <c:v>20941</c:v>
                </c:pt>
                <c:pt idx="27">
                  <c:v>23338</c:v>
                </c:pt>
                <c:pt idx="28">
                  <c:v>24925</c:v>
                </c:pt>
                <c:pt idx="29">
                  <c:v>20567</c:v>
                </c:pt>
                <c:pt idx="30">
                  <c:v>29371</c:v>
                </c:pt>
                <c:pt idx="31">
                  <c:v>30245</c:v>
                </c:pt>
                <c:pt idx="32">
                  <c:v>36717</c:v>
                </c:pt>
                <c:pt idx="33">
                  <c:v>36009</c:v>
                </c:pt>
                <c:pt idx="34">
                  <c:v>30584</c:v>
                </c:pt>
                <c:pt idx="35">
                  <c:v>27295</c:v>
                </c:pt>
                <c:pt idx="36">
                  <c:v>32288</c:v>
                </c:pt>
                <c:pt idx="37">
                  <c:v>27639</c:v>
                </c:pt>
                <c:pt idx="38">
                  <c:v>22621</c:v>
                </c:pt>
                <c:pt idx="39">
                  <c:v>25886</c:v>
                </c:pt>
                <c:pt idx="40">
                  <c:v>26703</c:v>
                </c:pt>
                <c:pt idx="41">
                  <c:v>22780</c:v>
                </c:pt>
                <c:pt idx="42">
                  <c:v>29313</c:v>
                </c:pt>
                <c:pt idx="43">
                  <c:v>29796</c:v>
                </c:pt>
                <c:pt idx="44">
                  <c:v>36296</c:v>
                </c:pt>
                <c:pt idx="45">
                  <c:v>35141</c:v>
                </c:pt>
                <c:pt idx="46">
                  <c:v>33165</c:v>
                </c:pt>
                <c:pt idx="47">
                  <c:v>25377</c:v>
                </c:pt>
                <c:pt idx="48">
                  <c:v>27046</c:v>
                </c:pt>
                <c:pt idx="49">
                  <c:v>22386</c:v>
                </c:pt>
                <c:pt idx="50">
                  <c:v>14343</c:v>
                </c:pt>
                <c:pt idx="51">
                  <c:v>13844</c:v>
                </c:pt>
                <c:pt idx="52">
                  <c:v>13724</c:v>
                </c:pt>
                <c:pt idx="53">
                  <c:v>12572</c:v>
                </c:pt>
                <c:pt idx="54">
                  <c:v>14700</c:v>
                </c:pt>
                <c:pt idx="55">
                  <c:v>17302</c:v>
                </c:pt>
                <c:pt idx="56">
                  <c:v>19108</c:v>
                </c:pt>
                <c:pt idx="57">
                  <c:v>19649</c:v>
                </c:pt>
                <c:pt idx="58">
                  <c:v>16767</c:v>
                </c:pt>
                <c:pt idx="59">
                  <c:v>13142</c:v>
                </c:pt>
                <c:pt idx="60">
                  <c:v>14930</c:v>
                </c:pt>
                <c:pt idx="61">
                  <c:v>11409</c:v>
                </c:pt>
                <c:pt idx="62">
                  <c:v>9620</c:v>
                </c:pt>
                <c:pt idx="63">
                  <c:v>11167</c:v>
                </c:pt>
                <c:pt idx="64">
                  <c:v>16328</c:v>
                </c:pt>
                <c:pt idx="65">
                  <c:v>13971</c:v>
                </c:pt>
                <c:pt idx="66">
                  <c:v>18515</c:v>
                </c:pt>
                <c:pt idx="67">
                  <c:v>25802</c:v>
                </c:pt>
                <c:pt idx="68">
                  <c:v>31972</c:v>
                </c:pt>
                <c:pt idx="69">
                  <c:v>31389</c:v>
                </c:pt>
                <c:pt idx="70">
                  <c:v>24899</c:v>
                </c:pt>
                <c:pt idx="71">
                  <c:v>17510</c:v>
                </c:pt>
                <c:pt idx="72">
                  <c:v>19385</c:v>
                </c:pt>
                <c:pt idx="73">
                  <c:v>18719</c:v>
                </c:pt>
                <c:pt idx="74">
                  <c:v>12755</c:v>
                </c:pt>
                <c:pt idx="75">
                  <c:v>14279</c:v>
                </c:pt>
                <c:pt idx="76">
                  <c:v>14934</c:v>
                </c:pt>
                <c:pt idx="77">
                  <c:v>13072</c:v>
                </c:pt>
                <c:pt idx="78">
                  <c:v>17387</c:v>
                </c:pt>
                <c:pt idx="79">
                  <c:v>20600</c:v>
                </c:pt>
                <c:pt idx="80">
                  <c:v>25498</c:v>
                </c:pt>
                <c:pt idx="81">
                  <c:v>25533</c:v>
                </c:pt>
                <c:pt idx="82">
                  <c:v>20528</c:v>
                </c:pt>
                <c:pt idx="83">
                  <c:v>16460</c:v>
                </c:pt>
                <c:pt idx="84">
                  <c:v>20818</c:v>
                </c:pt>
                <c:pt idx="85">
                  <c:v>19465</c:v>
                </c:pt>
                <c:pt idx="86">
                  <c:v>11536</c:v>
                </c:pt>
                <c:pt idx="87">
                  <c:v>13672</c:v>
                </c:pt>
                <c:pt idx="88">
                  <c:v>15864</c:v>
                </c:pt>
                <c:pt idx="89">
                  <c:v>13779</c:v>
                </c:pt>
                <c:pt idx="90">
                  <c:v>16399</c:v>
                </c:pt>
                <c:pt idx="91">
                  <c:v>17968</c:v>
                </c:pt>
                <c:pt idx="92">
                  <c:v>23513</c:v>
                </c:pt>
                <c:pt idx="93">
                  <c:v>22853</c:v>
                </c:pt>
                <c:pt idx="94">
                  <c:v>18948</c:v>
                </c:pt>
                <c:pt idx="95">
                  <c:v>16668</c:v>
                </c:pt>
                <c:pt idx="96">
                  <c:v>17864</c:v>
                </c:pt>
                <c:pt idx="97">
                  <c:v>19975</c:v>
                </c:pt>
                <c:pt idx="98">
                  <c:v>13800</c:v>
                </c:pt>
                <c:pt idx="99">
                  <c:v>14346</c:v>
                </c:pt>
                <c:pt idx="100">
                  <c:v>15744</c:v>
                </c:pt>
                <c:pt idx="101">
                  <c:v>12443</c:v>
                </c:pt>
                <c:pt idx="102">
                  <c:v>16722</c:v>
                </c:pt>
                <c:pt idx="103">
                  <c:v>20157</c:v>
                </c:pt>
                <c:pt idx="104">
                  <c:v>24750</c:v>
                </c:pt>
                <c:pt idx="105">
                  <c:v>23981</c:v>
                </c:pt>
                <c:pt idx="106">
                  <c:v>18492</c:v>
                </c:pt>
                <c:pt idx="107">
                  <c:v>15096</c:v>
                </c:pt>
                <c:pt idx="108">
                  <c:v>19560</c:v>
                </c:pt>
                <c:pt idx="109">
                  <c:v>18378</c:v>
                </c:pt>
                <c:pt idx="110">
                  <c:v>14950</c:v>
                </c:pt>
                <c:pt idx="111">
                  <c:v>14159</c:v>
                </c:pt>
                <c:pt idx="112">
                  <c:v>16343</c:v>
                </c:pt>
                <c:pt idx="113">
                  <c:v>15710</c:v>
                </c:pt>
                <c:pt idx="114">
                  <c:v>17097</c:v>
                </c:pt>
                <c:pt idx="115">
                  <c:v>18601</c:v>
                </c:pt>
                <c:pt idx="116">
                  <c:v>22681</c:v>
                </c:pt>
                <c:pt idx="117">
                  <c:v>24328</c:v>
                </c:pt>
                <c:pt idx="118">
                  <c:v>17243</c:v>
                </c:pt>
                <c:pt idx="119">
                  <c:v>14956</c:v>
                </c:pt>
                <c:pt idx="120">
                  <c:v>17963</c:v>
                </c:pt>
                <c:pt idx="121">
                  <c:v>17690</c:v>
                </c:pt>
                <c:pt idx="122">
                  <c:v>14123</c:v>
                </c:pt>
                <c:pt idx="123">
                  <c:v>13776</c:v>
                </c:pt>
                <c:pt idx="124">
                  <c:v>15122</c:v>
                </c:pt>
                <c:pt idx="125">
                  <c:v>16391</c:v>
                </c:pt>
                <c:pt idx="126">
                  <c:v>15966</c:v>
                </c:pt>
                <c:pt idx="127">
                  <c:v>18650</c:v>
                </c:pt>
                <c:pt idx="128">
                  <c:v>25391</c:v>
                </c:pt>
                <c:pt idx="129">
                  <c:v>23683</c:v>
                </c:pt>
                <c:pt idx="130">
                  <c:v>19016</c:v>
                </c:pt>
                <c:pt idx="131">
                  <c:v>16641</c:v>
                </c:pt>
                <c:pt idx="132">
                  <c:v>20189</c:v>
                </c:pt>
                <c:pt idx="133">
                  <c:v>22721</c:v>
                </c:pt>
                <c:pt idx="134">
                  <c:v>17171</c:v>
                </c:pt>
                <c:pt idx="135">
                  <c:v>18683</c:v>
                </c:pt>
                <c:pt idx="136">
                  <c:v>18201</c:v>
                </c:pt>
                <c:pt idx="137">
                  <c:v>19366</c:v>
                </c:pt>
                <c:pt idx="138">
                  <c:v>24878</c:v>
                </c:pt>
                <c:pt idx="139">
                  <c:v>21643</c:v>
                </c:pt>
                <c:pt idx="140">
                  <c:v>28701</c:v>
                </c:pt>
                <c:pt idx="141">
                  <c:v>27845</c:v>
                </c:pt>
                <c:pt idx="142">
                  <c:v>21487</c:v>
                </c:pt>
                <c:pt idx="143">
                  <c:v>18710</c:v>
                </c:pt>
                <c:pt idx="144">
                  <c:v>23598</c:v>
                </c:pt>
                <c:pt idx="145">
                  <c:v>25752</c:v>
                </c:pt>
                <c:pt idx="146">
                  <c:v>22395</c:v>
                </c:pt>
                <c:pt idx="147">
                  <c:v>21314</c:v>
                </c:pt>
                <c:pt idx="148">
                  <c:v>23722</c:v>
                </c:pt>
                <c:pt idx="149">
                  <c:v>24786</c:v>
                </c:pt>
                <c:pt idx="150">
                  <c:v>31524</c:v>
                </c:pt>
                <c:pt idx="151">
                  <c:v>31430</c:v>
                </c:pt>
                <c:pt idx="152">
                  <c:v>41560</c:v>
                </c:pt>
                <c:pt idx="153">
                  <c:v>39779</c:v>
                </c:pt>
                <c:pt idx="154">
                  <c:v>32546</c:v>
                </c:pt>
                <c:pt idx="155">
                  <c:v>30732</c:v>
                </c:pt>
                <c:pt idx="156">
                  <c:v>36935</c:v>
                </c:pt>
                <c:pt idx="157">
                  <c:v>33279</c:v>
                </c:pt>
                <c:pt idx="158">
                  <c:v>26394</c:v>
                </c:pt>
                <c:pt idx="159">
                  <c:v>22783</c:v>
                </c:pt>
                <c:pt idx="160">
                  <c:v>23425</c:v>
                </c:pt>
                <c:pt idx="161">
                  <c:v>27910</c:v>
                </c:pt>
                <c:pt idx="162">
                  <c:v>27036</c:v>
                </c:pt>
                <c:pt idx="163">
                  <c:v>27751</c:v>
                </c:pt>
                <c:pt idx="164">
                  <c:v>40660</c:v>
                </c:pt>
                <c:pt idx="165">
                  <c:v>37628</c:v>
                </c:pt>
                <c:pt idx="166">
                  <c:v>23833</c:v>
                </c:pt>
                <c:pt idx="167">
                  <c:v>20136</c:v>
                </c:pt>
                <c:pt idx="168">
                  <c:v>19615</c:v>
                </c:pt>
                <c:pt idx="169">
                  <c:v>22666</c:v>
                </c:pt>
                <c:pt idx="170">
                  <c:v>16998</c:v>
                </c:pt>
                <c:pt idx="171">
                  <c:v>15389</c:v>
                </c:pt>
                <c:pt idx="172">
                  <c:v>17258</c:v>
                </c:pt>
                <c:pt idx="173">
                  <c:v>18490</c:v>
                </c:pt>
                <c:pt idx="174">
                  <c:v>20508</c:v>
                </c:pt>
                <c:pt idx="175">
                  <c:v>23216</c:v>
                </c:pt>
                <c:pt idx="176">
                  <c:v>32101</c:v>
                </c:pt>
                <c:pt idx="177">
                  <c:v>31789</c:v>
                </c:pt>
                <c:pt idx="178">
                  <c:v>22282</c:v>
                </c:pt>
                <c:pt idx="179">
                  <c:v>18456</c:v>
                </c:pt>
                <c:pt idx="180">
                  <c:v>23635</c:v>
                </c:pt>
                <c:pt idx="181">
                  <c:v>21288</c:v>
                </c:pt>
                <c:pt idx="182">
                  <c:v>18856</c:v>
                </c:pt>
                <c:pt idx="183">
                  <c:v>16404</c:v>
                </c:pt>
                <c:pt idx="184">
                  <c:v>18050</c:v>
                </c:pt>
                <c:pt idx="185">
                  <c:v>19496</c:v>
                </c:pt>
                <c:pt idx="186">
                  <c:v>22095</c:v>
                </c:pt>
                <c:pt idx="187">
                  <c:v>28061</c:v>
                </c:pt>
                <c:pt idx="188">
                  <c:v>38109</c:v>
                </c:pt>
                <c:pt idx="189">
                  <c:v>36411</c:v>
                </c:pt>
                <c:pt idx="190">
                  <c:v>27166</c:v>
                </c:pt>
                <c:pt idx="191">
                  <c:v>22012</c:v>
                </c:pt>
                <c:pt idx="192">
                  <c:v>24002</c:v>
                </c:pt>
                <c:pt idx="193">
                  <c:v>27153</c:v>
                </c:pt>
                <c:pt idx="194">
                  <c:v>17375</c:v>
                </c:pt>
                <c:pt idx="195">
                  <c:v>17146</c:v>
                </c:pt>
                <c:pt idx="196">
                  <c:v>17985</c:v>
                </c:pt>
                <c:pt idx="197">
                  <c:v>17215</c:v>
                </c:pt>
                <c:pt idx="198">
                  <c:v>20869</c:v>
                </c:pt>
                <c:pt idx="199">
                  <c:v>23674</c:v>
                </c:pt>
                <c:pt idx="200">
                  <c:v>32199</c:v>
                </c:pt>
                <c:pt idx="201">
                  <c:v>30825</c:v>
                </c:pt>
                <c:pt idx="202">
                  <c:v>21952</c:v>
                </c:pt>
                <c:pt idx="203">
                  <c:v>16717</c:v>
                </c:pt>
                <c:pt idx="204">
                  <c:v>24770</c:v>
                </c:pt>
                <c:pt idx="205">
                  <c:v>15126</c:v>
                </c:pt>
                <c:pt idx="206">
                  <c:v>19889</c:v>
                </c:pt>
                <c:pt idx="207">
                  <c:v>13204</c:v>
                </c:pt>
                <c:pt idx="208">
                  <c:v>15110</c:v>
                </c:pt>
                <c:pt idx="209">
                  <c:v>14341</c:v>
                </c:pt>
                <c:pt idx="210">
                  <c:v>17849</c:v>
                </c:pt>
                <c:pt idx="211">
                  <c:v>21302</c:v>
                </c:pt>
                <c:pt idx="212">
                  <c:v>28547</c:v>
                </c:pt>
                <c:pt idx="213">
                  <c:v>27651</c:v>
                </c:pt>
                <c:pt idx="214">
                  <c:v>16040</c:v>
                </c:pt>
                <c:pt idx="215">
                  <c:v>15035</c:v>
                </c:pt>
                <c:pt idx="216">
                  <c:v>19047</c:v>
                </c:pt>
                <c:pt idx="217">
                  <c:v>15826</c:v>
                </c:pt>
                <c:pt idx="218">
                  <c:v>12931</c:v>
                </c:pt>
                <c:pt idx="219">
                  <c:v>11898</c:v>
                </c:pt>
                <c:pt idx="220">
                  <c:v>16236</c:v>
                </c:pt>
                <c:pt idx="221">
                  <c:v>16559</c:v>
                </c:pt>
                <c:pt idx="222">
                  <c:v>18212</c:v>
                </c:pt>
                <c:pt idx="223">
                  <c:v>23388</c:v>
                </c:pt>
                <c:pt idx="224">
                  <c:v>33735</c:v>
                </c:pt>
                <c:pt idx="225">
                  <c:v>29435</c:v>
                </c:pt>
                <c:pt idx="226">
                  <c:v>15156</c:v>
                </c:pt>
                <c:pt idx="227">
                  <c:v>12650</c:v>
                </c:pt>
                <c:pt idx="228">
                  <c:v>13888</c:v>
                </c:pt>
                <c:pt idx="229">
                  <c:v>19326</c:v>
                </c:pt>
                <c:pt idx="230">
                  <c:v>8665</c:v>
                </c:pt>
                <c:pt idx="231">
                  <c:v>6817</c:v>
                </c:pt>
                <c:pt idx="232">
                  <c:v>10752</c:v>
                </c:pt>
                <c:pt idx="233">
                  <c:v>5277</c:v>
                </c:pt>
                <c:pt idx="234">
                  <c:v>8745</c:v>
                </c:pt>
                <c:pt idx="235">
                  <c:v>10355</c:v>
                </c:pt>
                <c:pt idx="236">
                  <c:v>13716</c:v>
                </c:pt>
                <c:pt idx="237">
                  <c:v>11564</c:v>
                </c:pt>
                <c:pt idx="238">
                  <c:v>7249</c:v>
                </c:pt>
                <c:pt idx="239">
                  <c:v>5098</c:v>
                </c:pt>
                <c:pt idx="240">
                  <c:v>10843</c:v>
                </c:pt>
                <c:pt idx="241">
                  <c:v>8889</c:v>
                </c:pt>
                <c:pt idx="242">
                  <c:v>5904</c:v>
                </c:pt>
                <c:pt idx="243">
                  <c:v>5643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E-4B70-BEB7-EDA422A39D08}"/>
            </c:ext>
          </c:extLst>
        </c:ser>
        <c:ser>
          <c:idx val="1"/>
          <c:order val="1"/>
          <c:tx>
            <c:v>Llegadas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'Análisis tendencia'!$D$5:$D$248</c:f>
              <c:strCache>
                <c:ptCount val="244"/>
                <c:pt idx="0">
                  <c:v>Abr 26</c:v>
                </c:pt>
                <c:pt idx="1">
                  <c:v>Mar 26</c:v>
                </c:pt>
                <c:pt idx="2">
                  <c:v>Feb 26</c:v>
                </c:pt>
                <c:pt idx="3">
                  <c:v>Ene 26</c:v>
                </c:pt>
                <c:pt idx="4">
                  <c:v>Dic 25</c:v>
                </c:pt>
                <c:pt idx="5">
                  <c:v>Nov 25</c:v>
                </c:pt>
                <c:pt idx="6">
                  <c:v>Oct 25</c:v>
                </c:pt>
                <c:pt idx="7">
                  <c:v>Sep 25</c:v>
                </c:pt>
                <c:pt idx="8">
                  <c:v>Ago 25</c:v>
                </c:pt>
                <c:pt idx="9">
                  <c:v>Jul 25</c:v>
                </c:pt>
                <c:pt idx="10">
                  <c:v>Jun 25</c:v>
                </c:pt>
                <c:pt idx="11">
                  <c:v>May 25</c:v>
                </c:pt>
                <c:pt idx="12">
                  <c:v>Abr 25</c:v>
                </c:pt>
                <c:pt idx="13">
                  <c:v>Mar 25</c:v>
                </c:pt>
                <c:pt idx="14">
                  <c:v>Feb 25</c:v>
                </c:pt>
                <c:pt idx="15">
                  <c:v>Ene 25</c:v>
                </c:pt>
                <c:pt idx="16">
                  <c:v>Dic 24</c:v>
                </c:pt>
                <c:pt idx="17">
                  <c:v>Nov 24</c:v>
                </c:pt>
                <c:pt idx="18">
                  <c:v>Oct 24</c:v>
                </c:pt>
                <c:pt idx="19">
                  <c:v>Sep 24</c:v>
                </c:pt>
                <c:pt idx="20">
                  <c:v>Ago 24</c:v>
                </c:pt>
                <c:pt idx="21">
                  <c:v>Jul 24</c:v>
                </c:pt>
                <c:pt idx="22">
                  <c:v>Jun 24</c:v>
                </c:pt>
                <c:pt idx="23">
                  <c:v>May 24</c:v>
                </c:pt>
                <c:pt idx="24">
                  <c:v>Abr 24</c:v>
                </c:pt>
                <c:pt idx="25">
                  <c:v>Mar 24</c:v>
                </c:pt>
                <c:pt idx="26">
                  <c:v>Feb 24</c:v>
                </c:pt>
                <c:pt idx="27">
                  <c:v>Ene 24</c:v>
                </c:pt>
                <c:pt idx="28">
                  <c:v>Dic 23</c:v>
                </c:pt>
                <c:pt idx="29">
                  <c:v>Nov 23</c:v>
                </c:pt>
                <c:pt idx="30">
                  <c:v>Oct 23</c:v>
                </c:pt>
                <c:pt idx="31">
                  <c:v>Sep 23</c:v>
                </c:pt>
                <c:pt idx="32">
                  <c:v>Ago 23</c:v>
                </c:pt>
                <c:pt idx="33">
                  <c:v>Jul 23</c:v>
                </c:pt>
                <c:pt idx="34">
                  <c:v>Jun 23</c:v>
                </c:pt>
                <c:pt idx="35">
                  <c:v>May 23</c:v>
                </c:pt>
                <c:pt idx="36">
                  <c:v>Abr 23</c:v>
                </c:pt>
                <c:pt idx="37">
                  <c:v>Mar 23</c:v>
                </c:pt>
                <c:pt idx="38">
                  <c:v>Feb 23</c:v>
                </c:pt>
                <c:pt idx="39">
                  <c:v>Ene 23</c:v>
                </c:pt>
                <c:pt idx="40">
                  <c:v>Dic 22</c:v>
                </c:pt>
                <c:pt idx="41">
                  <c:v>Nov 22</c:v>
                </c:pt>
                <c:pt idx="42">
                  <c:v>Oct 22</c:v>
                </c:pt>
                <c:pt idx="43">
                  <c:v>Sep 22</c:v>
                </c:pt>
                <c:pt idx="44">
                  <c:v>Ago 22</c:v>
                </c:pt>
                <c:pt idx="45">
                  <c:v>Jul 22</c:v>
                </c:pt>
                <c:pt idx="46">
                  <c:v>Jun 22</c:v>
                </c:pt>
                <c:pt idx="47">
                  <c:v>May 22</c:v>
                </c:pt>
                <c:pt idx="48">
                  <c:v>Abr 22</c:v>
                </c:pt>
                <c:pt idx="49">
                  <c:v>Mar 22</c:v>
                </c:pt>
                <c:pt idx="50">
                  <c:v>Feb 22</c:v>
                </c:pt>
                <c:pt idx="51">
                  <c:v>Ene 22</c:v>
                </c:pt>
                <c:pt idx="52">
                  <c:v>dic-19</c:v>
                </c:pt>
                <c:pt idx="53">
                  <c:v>nov-19</c:v>
                </c:pt>
                <c:pt idx="54">
                  <c:v>oct-19</c:v>
                </c:pt>
                <c:pt idx="55">
                  <c:v>sep-19</c:v>
                </c:pt>
                <c:pt idx="56">
                  <c:v>ago-19</c:v>
                </c:pt>
                <c:pt idx="57">
                  <c:v>jul-19</c:v>
                </c:pt>
                <c:pt idx="58">
                  <c:v>jun-19</c:v>
                </c:pt>
                <c:pt idx="59">
                  <c:v>may-19</c:v>
                </c:pt>
                <c:pt idx="60">
                  <c:v>abr-19</c:v>
                </c:pt>
                <c:pt idx="61">
                  <c:v>mar-19</c:v>
                </c:pt>
                <c:pt idx="62">
                  <c:v>feb-19</c:v>
                </c:pt>
                <c:pt idx="63">
                  <c:v>ene-19</c:v>
                </c:pt>
                <c:pt idx="64">
                  <c:v>dic-18</c:v>
                </c:pt>
                <c:pt idx="65">
                  <c:v>nov-18</c:v>
                </c:pt>
                <c:pt idx="66">
                  <c:v>oct-18</c:v>
                </c:pt>
                <c:pt idx="67">
                  <c:v>sep-18</c:v>
                </c:pt>
                <c:pt idx="68">
                  <c:v>ago-18</c:v>
                </c:pt>
                <c:pt idx="69">
                  <c:v>jul-18</c:v>
                </c:pt>
                <c:pt idx="70">
                  <c:v>jun-18</c:v>
                </c:pt>
                <c:pt idx="71">
                  <c:v>may-18</c:v>
                </c:pt>
                <c:pt idx="72">
                  <c:v>abr-18</c:v>
                </c:pt>
                <c:pt idx="73">
                  <c:v>mar-18</c:v>
                </c:pt>
                <c:pt idx="74">
                  <c:v>feb-18</c:v>
                </c:pt>
                <c:pt idx="75">
                  <c:v>ene-18</c:v>
                </c:pt>
                <c:pt idx="76">
                  <c:v>dic-17</c:v>
                </c:pt>
                <c:pt idx="77">
                  <c:v>nov-17</c:v>
                </c:pt>
                <c:pt idx="78">
                  <c:v>oct-17</c:v>
                </c:pt>
                <c:pt idx="79">
                  <c:v>sep-17</c:v>
                </c:pt>
                <c:pt idx="80">
                  <c:v>ago-17</c:v>
                </c:pt>
                <c:pt idx="81">
                  <c:v>jul-17</c:v>
                </c:pt>
                <c:pt idx="82">
                  <c:v>jun-17</c:v>
                </c:pt>
                <c:pt idx="83">
                  <c:v>may-17</c:v>
                </c:pt>
                <c:pt idx="84">
                  <c:v>abr-17</c:v>
                </c:pt>
                <c:pt idx="85">
                  <c:v>mar-17</c:v>
                </c:pt>
                <c:pt idx="86">
                  <c:v>feb-17</c:v>
                </c:pt>
                <c:pt idx="87">
                  <c:v>ene-17</c:v>
                </c:pt>
                <c:pt idx="88">
                  <c:v>dic-16</c:v>
                </c:pt>
                <c:pt idx="89">
                  <c:v>nov-16</c:v>
                </c:pt>
                <c:pt idx="90">
                  <c:v>oct-16</c:v>
                </c:pt>
                <c:pt idx="91">
                  <c:v>sep-16</c:v>
                </c:pt>
                <c:pt idx="92">
                  <c:v>ago-16</c:v>
                </c:pt>
                <c:pt idx="93">
                  <c:v>jul-16</c:v>
                </c:pt>
                <c:pt idx="94">
                  <c:v>jun-16</c:v>
                </c:pt>
                <c:pt idx="95">
                  <c:v>may-16</c:v>
                </c:pt>
                <c:pt idx="96">
                  <c:v>abr-16</c:v>
                </c:pt>
                <c:pt idx="97">
                  <c:v>mar-16</c:v>
                </c:pt>
                <c:pt idx="98">
                  <c:v>feb-16</c:v>
                </c:pt>
                <c:pt idx="99">
                  <c:v>ene-16</c:v>
                </c:pt>
                <c:pt idx="100">
                  <c:v>dic-15</c:v>
                </c:pt>
                <c:pt idx="101">
                  <c:v>nov-15</c:v>
                </c:pt>
                <c:pt idx="102">
                  <c:v>oct-15</c:v>
                </c:pt>
                <c:pt idx="103">
                  <c:v>sep-15</c:v>
                </c:pt>
                <c:pt idx="104">
                  <c:v>ago-15</c:v>
                </c:pt>
                <c:pt idx="105">
                  <c:v>jul-15</c:v>
                </c:pt>
                <c:pt idx="106">
                  <c:v>jun-15</c:v>
                </c:pt>
                <c:pt idx="107">
                  <c:v>may-15</c:v>
                </c:pt>
                <c:pt idx="108">
                  <c:v>abr-15</c:v>
                </c:pt>
                <c:pt idx="109">
                  <c:v>mar-15</c:v>
                </c:pt>
                <c:pt idx="110">
                  <c:v>feb-15</c:v>
                </c:pt>
                <c:pt idx="111">
                  <c:v>ene-15</c:v>
                </c:pt>
                <c:pt idx="112">
                  <c:v>dic-14</c:v>
                </c:pt>
                <c:pt idx="113">
                  <c:v>nov-14</c:v>
                </c:pt>
                <c:pt idx="114">
                  <c:v>oct-14</c:v>
                </c:pt>
                <c:pt idx="115">
                  <c:v>sep-14</c:v>
                </c:pt>
                <c:pt idx="116">
                  <c:v>ago-14</c:v>
                </c:pt>
                <c:pt idx="117">
                  <c:v>jul-14</c:v>
                </c:pt>
                <c:pt idx="118">
                  <c:v>jun-14</c:v>
                </c:pt>
                <c:pt idx="119">
                  <c:v>may-14</c:v>
                </c:pt>
                <c:pt idx="120">
                  <c:v>abr-14</c:v>
                </c:pt>
                <c:pt idx="121">
                  <c:v>mar-14</c:v>
                </c:pt>
                <c:pt idx="122">
                  <c:v>feb-14</c:v>
                </c:pt>
                <c:pt idx="123">
                  <c:v>ene-14</c:v>
                </c:pt>
                <c:pt idx="124">
                  <c:v>dic-13</c:v>
                </c:pt>
                <c:pt idx="125">
                  <c:v>nov-13</c:v>
                </c:pt>
                <c:pt idx="126">
                  <c:v>oct-13</c:v>
                </c:pt>
                <c:pt idx="127">
                  <c:v>sep-13</c:v>
                </c:pt>
                <c:pt idx="128">
                  <c:v>ago-13</c:v>
                </c:pt>
                <c:pt idx="129">
                  <c:v>jul-13</c:v>
                </c:pt>
                <c:pt idx="130">
                  <c:v>jun-13</c:v>
                </c:pt>
                <c:pt idx="131">
                  <c:v>may-13</c:v>
                </c:pt>
                <c:pt idx="132">
                  <c:v>abr-13</c:v>
                </c:pt>
                <c:pt idx="133">
                  <c:v>mar-13</c:v>
                </c:pt>
                <c:pt idx="134">
                  <c:v>feb-13</c:v>
                </c:pt>
                <c:pt idx="135">
                  <c:v>ene-13</c:v>
                </c:pt>
                <c:pt idx="136">
                  <c:v>dic-12</c:v>
                </c:pt>
                <c:pt idx="137">
                  <c:v>nov-12</c:v>
                </c:pt>
                <c:pt idx="138">
                  <c:v>oct-12</c:v>
                </c:pt>
                <c:pt idx="139">
                  <c:v>sep-12</c:v>
                </c:pt>
                <c:pt idx="140">
                  <c:v>ago-12</c:v>
                </c:pt>
                <c:pt idx="141">
                  <c:v>jul-12</c:v>
                </c:pt>
                <c:pt idx="142">
                  <c:v>jun-12</c:v>
                </c:pt>
                <c:pt idx="143">
                  <c:v>may-12</c:v>
                </c:pt>
                <c:pt idx="144">
                  <c:v>abr-12</c:v>
                </c:pt>
                <c:pt idx="145">
                  <c:v>mar-12</c:v>
                </c:pt>
                <c:pt idx="146">
                  <c:v>feb-12</c:v>
                </c:pt>
                <c:pt idx="147">
                  <c:v>ene-12</c:v>
                </c:pt>
                <c:pt idx="148">
                  <c:v>dic-11</c:v>
                </c:pt>
                <c:pt idx="149">
                  <c:v>nov-11</c:v>
                </c:pt>
                <c:pt idx="150">
                  <c:v>oct-11</c:v>
                </c:pt>
                <c:pt idx="151">
                  <c:v>sep-11</c:v>
                </c:pt>
                <c:pt idx="152">
                  <c:v>ago-11</c:v>
                </c:pt>
                <c:pt idx="153">
                  <c:v>jul-11</c:v>
                </c:pt>
                <c:pt idx="154">
                  <c:v>jun-11</c:v>
                </c:pt>
                <c:pt idx="155">
                  <c:v>may-11</c:v>
                </c:pt>
                <c:pt idx="156">
                  <c:v>abr-11</c:v>
                </c:pt>
                <c:pt idx="157">
                  <c:v>mar-11</c:v>
                </c:pt>
                <c:pt idx="158">
                  <c:v>feb-11</c:v>
                </c:pt>
                <c:pt idx="159">
                  <c:v>ene-11</c:v>
                </c:pt>
                <c:pt idx="160">
                  <c:v>dic-10</c:v>
                </c:pt>
                <c:pt idx="161">
                  <c:v>nov-10</c:v>
                </c:pt>
                <c:pt idx="162">
                  <c:v>oct-10</c:v>
                </c:pt>
                <c:pt idx="163">
                  <c:v>sep-10</c:v>
                </c:pt>
                <c:pt idx="164">
                  <c:v>ago-10</c:v>
                </c:pt>
                <c:pt idx="165">
                  <c:v>jul-10</c:v>
                </c:pt>
                <c:pt idx="166">
                  <c:v>jun-10</c:v>
                </c:pt>
                <c:pt idx="167">
                  <c:v>may-10</c:v>
                </c:pt>
                <c:pt idx="168">
                  <c:v>abr-10</c:v>
                </c:pt>
                <c:pt idx="169">
                  <c:v>mar-10</c:v>
                </c:pt>
                <c:pt idx="170">
                  <c:v>feb-10</c:v>
                </c:pt>
                <c:pt idx="171">
                  <c:v>ene-10</c:v>
                </c:pt>
                <c:pt idx="172">
                  <c:v>dic-09</c:v>
                </c:pt>
                <c:pt idx="173">
                  <c:v>nov-09</c:v>
                </c:pt>
                <c:pt idx="174">
                  <c:v>oct-09</c:v>
                </c:pt>
                <c:pt idx="175">
                  <c:v>sep-09</c:v>
                </c:pt>
                <c:pt idx="176">
                  <c:v>ago-09</c:v>
                </c:pt>
                <c:pt idx="177">
                  <c:v>jul-09</c:v>
                </c:pt>
                <c:pt idx="178">
                  <c:v>jun-09</c:v>
                </c:pt>
                <c:pt idx="179">
                  <c:v>may-09</c:v>
                </c:pt>
                <c:pt idx="180">
                  <c:v>abr-09</c:v>
                </c:pt>
                <c:pt idx="181">
                  <c:v>mar-09</c:v>
                </c:pt>
                <c:pt idx="182">
                  <c:v>feb-09</c:v>
                </c:pt>
                <c:pt idx="183">
                  <c:v>ene-09</c:v>
                </c:pt>
                <c:pt idx="184">
                  <c:v>dic-08</c:v>
                </c:pt>
                <c:pt idx="185">
                  <c:v>nov-08</c:v>
                </c:pt>
                <c:pt idx="186">
                  <c:v>oct-08</c:v>
                </c:pt>
                <c:pt idx="187">
                  <c:v>sep-08</c:v>
                </c:pt>
                <c:pt idx="188">
                  <c:v>ago-08</c:v>
                </c:pt>
                <c:pt idx="189">
                  <c:v>jul-08</c:v>
                </c:pt>
                <c:pt idx="190">
                  <c:v>jun-08</c:v>
                </c:pt>
                <c:pt idx="191">
                  <c:v>may-08</c:v>
                </c:pt>
                <c:pt idx="192">
                  <c:v>abr-08</c:v>
                </c:pt>
                <c:pt idx="193">
                  <c:v>mar-08</c:v>
                </c:pt>
                <c:pt idx="194">
                  <c:v>feb-08</c:v>
                </c:pt>
                <c:pt idx="195">
                  <c:v>ene-08</c:v>
                </c:pt>
                <c:pt idx="196">
                  <c:v>dic-07</c:v>
                </c:pt>
                <c:pt idx="197">
                  <c:v>nov-07</c:v>
                </c:pt>
                <c:pt idx="198">
                  <c:v>oct-07</c:v>
                </c:pt>
                <c:pt idx="199">
                  <c:v>sep-07</c:v>
                </c:pt>
                <c:pt idx="200">
                  <c:v>ago-07</c:v>
                </c:pt>
                <c:pt idx="201">
                  <c:v>jul-07</c:v>
                </c:pt>
                <c:pt idx="202">
                  <c:v>jun-07</c:v>
                </c:pt>
                <c:pt idx="203">
                  <c:v>may-07</c:v>
                </c:pt>
                <c:pt idx="204">
                  <c:v>abr-07</c:v>
                </c:pt>
                <c:pt idx="205">
                  <c:v>mar-07</c:v>
                </c:pt>
                <c:pt idx="206">
                  <c:v>feb-07</c:v>
                </c:pt>
                <c:pt idx="207">
                  <c:v>ene-07</c:v>
                </c:pt>
                <c:pt idx="208">
                  <c:v>dic-06</c:v>
                </c:pt>
                <c:pt idx="209">
                  <c:v>nov-06</c:v>
                </c:pt>
                <c:pt idx="210">
                  <c:v>oct-06</c:v>
                </c:pt>
                <c:pt idx="211">
                  <c:v>sep-06</c:v>
                </c:pt>
                <c:pt idx="212">
                  <c:v>ago-06</c:v>
                </c:pt>
                <c:pt idx="213">
                  <c:v>jul-06</c:v>
                </c:pt>
                <c:pt idx="214">
                  <c:v>jun-06</c:v>
                </c:pt>
                <c:pt idx="215">
                  <c:v>may-06</c:v>
                </c:pt>
                <c:pt idx="216">
                  <c:v>abr-06</c:v>
                </c:pt>
                <c:pt idx="217">
                  <c:v>mar-06</c:v>
                </c:pt>
                <c:pt idx="218">
                  <c:v>feb-06</c:v>
                </c:pt>
                <c:pt idx="219">
                  <c:v>ene-06</c:v>
                </c:pt>
                <c:pt idx="220">
                  <c:v>dic-05</c:v>
                </c:pt>
                <c:pt idx="221">
                  <c:v>nov-05</c:v>
                </c:pt>
                <c:pt idx="222">
                  <c:v>oct-05</c:v>
                </c:pt>
                <c:pt idx="223">
                  <c:v>sep-05</c:v>
                </c:pt>
                <c:pt idx="224">
                  <c:v>ago-05</c:v>
                </c:pt>
                <c:pt idx="225">
                  <c:v>jul-05</c:v>
                </c:pt>
                <c:pt idx="226">
                  <c:v>jun-05</c:v>
                </c:pt>
                <c:pt idx="227">
                  <c:v>may-05</c:v>
                </c:pt>
                <c:pt idx="228">
                  <c:v>abr-05</c:v>
                </c:pt>
                <c:pt idx="229">
                  <c:v>mar-05</c:v>
                </c:pt>
                <c:pt idx="230">
                  <c:v>feb-05</c:v>
                </c:pt>
                <c:pt idx="231">
                  <c:v>ene-05</c:v>
                </c:pt>
                <c:pt idx="232">
                  <c:v>dic-04</c:v>
                </c:pt>
                <c:pt idx="233">
                  <c:v>nov-04</c:v>
                </c:pt>
                <c:pt idx="234">
                  <c:v>oct-04</c:v>
                </c:pt>
                <c:pt idx="235">
                  <c:v>sep-04</c:v>
                </c:pt>
                <c:pt idx="236">
                  <c:v>ago-04</c:v>
                </c:pt>
                <c:pt idx="237">
                  <c:v>jul-04</c:v>
                </c:pt>
                <c:pt idx="238">
                  <c:v>jun-04</c:v>
                </c:pt>
                <c:pt idx="239">
                  <c:v>may-04</c:v>
                </c:pt>
                <c:pt idx="240">
                  <c:v>abr-04</c:v>
                </c:pt>
                <c:pt idx="241">
                  <c:v>mar-04</c:v>
                </c:pt>
                <c:pt idx="242">
                  <c:v>feb-04</c:v>
                </c:pt>
                <c:pt idx="243">
                  <c:v>ene-04</c:v>
                </c:pt>
              </c:strCache>
            </c:strRef>
          </c:cat>
          <c:val>
            <c:numRef>
              <c:f>'Análisis tendencia'!$F$5:$F$248</c:f>
              <c:numCache>
                <c:formatCode>#,##0_);\(#,##0\)</c:formatCode>
                <c:ptCount val="244"/>
                <c:pt idx="0">
                  <c:v>31904</c:v>
                </c:pt>
                <c:pt idx="1">
                  <c:v>26383</c:v>
                </c:pt>
                <c:pt idx="2">
                  <c:v>21766</c:v>
                </c:pt>
                <c:pt idx="3">
                  <c:v>22640</c:v>
                </c:pt>
                <c:pt idx="4">
                  <c:v>26116</c:v>
                </c:pt>
                <c:pt idx="5">
                  <c:v>23861</c:v>
                </c:pt>
                <c:pt idx="6">
                  <c:v>33174</c:v>
                </c:pt>
                <c:pt idx="7">
                  <c:v>32984</c:v>
                </c:pt>
                <c:pt idx="8">
                  <c:v>37144</c:v>
                </c:pt>
                <c:pt idx="9">
                  <c:v>34544</c:v>
                </c:pt>
                <c:pt idx="10">
                  <c:v>29410</c:v>
                </c:pt>
                <c:pt idx="11">
                  <c:v>32743</c:v>
                </c:pt>
                <c:pt idx="12">
                  <c:v>33270</c:v>
                </c:pt>
                <c:pt idx="13">
                  <c:v>25715</c:v>
                </c:pt>
                <c:pt idx="14">
                  <c:v>22052</c:v>
                </c:pt>
                <c:pt idx="15">
                  <c:v>21181</c:v>
                </c:pt>
                <c:pt idx="16">
                  <c:v>27911</c:v>
                </c:pt>
                <c:pt idx="17">
                  <c:v>24268</c:v>
                </c:pt>
                <c:pt idx="18">
                  <c:v>31329</c:v>
                </c:pt>
                <c:pt idx="19">
                  <c:v>33370</c:v>
                </c:pt>
                <c:pt idx="20">
                  <c:v>35950</c:v>
                </c:pt>
                <c:pt idx="21">
                  <c:v>32485</c:v>
                </c:pt>
                <c:pt idx="22">
                  <c:v>31224</c:v>
                </c:pt>
                <c:pt idx="23">
                  <c:v>30194</c:v>
                </c:pt>
                <c:pt idx="24">
                  <c:v>30071</c:v>
                </c:pt>
                <c:pt idx="25">
                  <c:v>26949</c:v>
                </c:pt>
                <c:pt idx="26">
                  <c:v>20982</c:v>
                </c:pt>
                <c:pt idx="27">
                  <c:v>22113</c:v>
                </c:pt>
                <c:pt idx="28">
                  <c:v>25139</c:v>
                </c:pt>
                <c:pt idx="29">
                  <c:v>19967</c:v>
                </c:pt>
                <c:pt idx="30">
                  <c:v>30350</c:v>
                </c:pt>
                <c:pt idx="31">
                  <c:v>31757</c:v>
                </c:pt>
                <c:pt idx="32">
                  <c:v>36279</c:v>
                </c:pt>
                <c:pt idx="33">
                  <c:v>35358</c:v>
                </c:pt>
                <c:pt idx="34">
                  <c:v>27863</c:v>
                </c:pt>
                <c:pt idx="35">
                  <c:v>27132</c:v>
                </c:pt>
                <c:pt idx="36">
                  <c:v>32260</c:v>
                </c:pt>
                <c:pt idx="37">
                  <c:v>26392</c:v>
                </c:pt>
                <c:pt idx="38">
                  <c:v>23591</c:v>
                </c:pt>
                <c:pt idx="39">
                  <c:v>25455</c:v>
                </c:pt>
                <c:pt idx="40">
                  <c:v>27638</c:v>
                </c:pt>
                <c:pt idx="41">
                  <c:v>22140</c:v>
                </c:pt>
                <c:pt idx="42">
                  <c:v>29538</c:v>
                </c:pt>
                <c:pt idx="43">
                  <c:v>31483</c:v>
                </c:pt>
                <c:pt idx="44">
                  <c:v>35856</c:v>
                </c:pt>
                <c:pt idx="45">
                  <c:v>34342</c:v>
                </c:pt>
                <c:pt idx="46">
                  <c:v>29094</c:v>
                </c:pt>
                <c:pt idx="47">
                  <c:v>25706</c:v>
                </c:pt>
                <c:pt idx="48">
                  <c:v>25908</c:v>
                </c:pt>
                <c:pt idx="49">
                  <c:v>22233</c:v>
                </c:pt>
                <c:pt idx="50">
                  <c:v>15279</c:v>
                </c:pt>
                <c:pt idx="51">
                  <c:v>12430</c:v>
                </c:pt>
                <c:pt idx="52">
                  <c:v>14374</c:v>
                </c:pt>
                <c:pt idx="53">
                  <c:v>11668</c:v>
                </c:pt>
                <c:pt idx="54">
                  <c:v>14554</c:v>
                </c:pt>
                <c:pt idx="55">
                  <c:v>17453</c:v>
                </c:pt>
                <c:pt idx="56">
                  <c:v>18616</c:v>
                </c:pt>
                <c:pt idx="57">
                  <c:v>19492</c:v>
                </c:pt>
                <c:pt idx="58">
                  <c:v>15297</c:v>
                </c:pt>
                <c:pt idx="59">
                  <c:v>13282</c:v>
                </c:pt>
                <c:pt idx="60">
                  <c:v>14693</c:v>
                </c:pt>
                <c:pt idx="61">
                  <c:v>11192</c:v>
                </c:pt>
                <c:pt idx="62">
                  <c:v>9718</c:v>
                </c:pt>
                <c:pt idx="63">
                  <c:v>10549</c:v>
                </c:pt>
                <c:pt idx="64">
                  <c:v>17518</c:v>
                </c:pt>
                <c:pt idx="65">
                  <c:v>13713</c:v>
                </c:pt>
                <c:pt idx="66">
                  <c:v>18316</c:v>
                </c:pt>
                <c:pt idx="67">
                  <c:v>26692</c:v>
                </c:pt>
                <c:pt idx="68">
                  <c:v>32311</c:v>
                </c:pt>
                <c:pt idx="69">
                  <c:v>30522</c:v>
                </c:pt>
                <c:pt idx="70">
                  <c:v>22605</c:v>
                </c:pt>
                <c:pt idx="71">
                  <c:v>16982</c:v>
                </c:pt>
                <c:pt idx="72">
                  <c:v>20583</c:v>
                </c:pt>
                <c:pt idx="73">
                  <c:v>16606</c:v>
                </c:pt>
                <c:pt idx="74">
                  <c:v>12922</c:v>
                </c:pt>
                <c:pt idx="75">
                  <c:v>12899</c:v>
                </c:pt>
                <c:pt idx="76">
                  <c:v>16044</c:v>
                </c:pt>
                <c:pt idx="77">
                  <c:v>12713</c:v>
                </c:pt>
                <c:pt idx="78">
                  <c:v>17323</c:v>
                </c:pt>
                <c:pt idx="79">
                  <c:v>21555</c:v>
                </c:pt>
                <c:pt idx="80">
                  <c:v>26488</c:v>
                </c:pt>
                <c:pt idx="81">
                  <c:v>24441</c:v>
                </c:pt>
                <c:pt idx="82">
                  <c:v>18799</c:v>
                </c:pt>
                <c:pt idx="83">
                  <c:v>16784</c:v>
                </c:pt>
                <c:pt idx="84">
                  <c:v>21435</c:v>
                </c:pt>
                <c:pt idx="85">
                  <c:v>18007</c:v>
                </c:pt>
                <c:pt idx="86">
                  <c:v>11524</c:v>
                </c:pt>
                <c:pt idx="87">
                  <c:v>12526</c:v>
                </c:pt>
                <c:pt idx="88">
                  <c:v>16499</c:v>
                </c:pt>
                <c:pt idx="89">
                  <c:v>12874</c:v>
                </c:pt>
                <c:pt idx="90">
                  <c:v>16045</c:v>
                </c:pt>
                <c:pt idx="91">
                  <c:v>18448</c:v>
                </c:pt>
                <c:pt idx="92">
                  <c:v>23266</c:v>
                </c:pt>
                <c:pt idx="93">
                  <c:v>22108</c:v>
                </c:pt>
                <c:pt idx="94">
                  <c:v>18228</c:v>
                </c:pt>
                <c:pt idx="95">
                  <c:v>16748</c:v>
                </c:pt>
                <c:pt idx="96">
                  <c:v>16973</c:v>
                </c:pt>
                <c:pt idx="97">
                  <c:v>19774</c:v>
                </c:pt>
                <c:pt idx="98">
                  <c:v>13377</c:v>
                </c:pt>
                <c:pt idx="99">
                  <c:v>12734</c:v>
                </c:pt>
                <c:pt idx="100">
                  <c:v>16998</c:v>
                </c:pt>
                <c:pt idx="101">
                  <c:v>11270</c:v>
                </c:pt>
                <c:pt idx="102">
                  <c:v>16275</c:v>
                </c:pt>
                <c:pt idx="103">
                  <c:v>20898</c:v>
                </c:pt>
                <c:pt idx="104">
                  <c:v>24556</c:v>
                </c:pt>
                <c:pt idx="105">
                  <c:v>23431</c:v>
                </c:pt>
                <c:pt idx="106">
                  <c:v>17110</c:v>
                </c:pt>
                <c:pt idx="107">
                  <c:v>15136</c:v>
                </c:pt>
                <c:pt idx="108">
                  <c:v>19420</c:v>
                </c:pt>
                <c:pt idx="109">
                  <c:v>17419</c:v>
                </c:pt>
                <c:pt idx="110">
                  <c:v>14806</c:v>
                </c:pt>
                <c:pt idx="111">
                  <c:v>12281</c:v>
                </c:pt>
                <c:pt idx="112">
                  <c:v>16883</c:v>
                </c:pt>
                <c:pt idx="113">
                  <c:v>14788</c:v>
                </c:pt>
                <c:pt idx="114">
                  <c:v>16676</c:v>
                </c:pt>
                <c:pt idx="115">
                  <c:v>19304</c:v>
                </c:pt>
                <c:pt idx="116">
                  <c:v>22878</c:v>
                </c:pt>
                <c:pt idx="117">
                  <c:v>24162</c:v>
                </c:pt>
                <c:pt idx="118">
                  <c:v>15369</c:v>
                </c:pt>
                <c:pt idx="119">
                  <c:v>15198</c:v>
                </c:pt>
                <c:pt idx="120">
                  <c:v>18091</c:v>
                </c:pt>
                <c:pt idx="121">
                  <c:v>17426</c:v>
                </c:pt>
                <c:pt idx="122">
                  <c:v>13831</c:v>
                </c:pt>
                <c:pt idx="123">
                  <c:v>11742</c:v>
                </c:pt>
                <c:pt idx="124">
                  <c:v>16781</c:v>
                </c:pt>
                <c:pt idx="125">
                  <c:v>15345</c:v>
                </c:pt>
                <c:pt idx="126">
                  <c:v>16136</c:v>
                </c:pt>
                <c:pt idx="127">
                  <c:v>19636</c:v>
                </c:pt>
                <c:pt idx="128">
                  <c:v>24999</c:v>
                </c:pt>
                <c:pt idx="129">
                  <c:v>23468</c:v>
                </c:pt>
                <c:pt idx="130">
                  <c:v>17963</c:v>
                </c:pt>
                <c:pt idx="131">
                  <c:v>17484</c:v>
                </c:pt>
                <c:pt idx="132">
                  <c:v>20997</c:v>
                </c:pt>
                <c:pt idx="133">
                  <c:v>21968</c:v>
                </c:pt>
                <c:pt idx="134">
                  <c:v>17076</c:v>
                </c:pt>
                <c:pt idx="135">
                  <c:v>16669</c:v>
                </c:pt>
                <c:pt idx="136">
                  <c:v>19995</c:v>
                </c:pt>
                <c:pt idx="137">
                  <c:v>18241</c:v>
                </c:pt>
                <c:pt idx="138">
                  <c:v>26014</c:v>
                </c:pt>
                <c:pt idx="139">
                  <c:v>23124</c:v>
                </c:pt>
                <c:pt idx="140">
                  <c:v>29193</c:v>
                </c:pt>
                <c:pt idx="141">
                  <c:v>27251</c:v>
                </c:pt>
                <c:pt idx="142">
                  <c:v>21123</c:v>
                </c:pt>
                <c:pt idx="143">
                  <c:v>19060</c:v>
                </c:pt>
                <c:pt idx="144">
                  <c:v>24587</c:v>
                </c:pt>
                <c:pt idx="145">
                  <c:v>25357</c:v>
                </c:pt>
                <c:pt idx="146">
                  <c:v>21850</c:v>
                </c:pt>
                <c:pt idx="147">
                  <c:v>20334</c:v>
                </c:pt>
                <c:pt idx="148">
                  <c:v>25664</c:v>
                </c:pt>
                <c:pt idx="149">
                  <c:v>23942</c:v>
                </c:pt>
                <c:pt idx="150">
                  <c:v>31081</c:v>
                </c:pt>
                <c:pt idx="151">
                  <c:v>33506</c:v>
                </c:pt>
                <c:pt idx="152">
                  <c:v>42462</c:v>
                </c:pt>
                <c:pt idx="153">
                  <c:v>39324</c:v>
                </c:pt>
                <c:pt idx="154">
                  <c:v>30607</c:v>
                </c:pt>
                <c:pt idx="155">
                  <c:v>32390</c:v>
                </c:pt>
                <c:pt idx="156">
                  <c:v>36370</c:v>
                </c:pt>
                <c:pt idx="157">
                  <c:v>32661</c:v>
                </c:pt>
                <c:pt idx="158">
                  <c:v>26103</c:v>
                </c:pt>
                <c:pt idx="159">
                  <c:v>20947</c:v>
                </c:pt>
                <c:pt idx="160">
                  <c:v>25132</c:v>
                </c:pt>
                <c:pt idx="161">
                  <c:v>26974</c:v>
                </c:pt>
                <c:pt idx="162">
                  <c:v>27310</c:v>
                </c:pt>
                <c:pt idx="163">
                  <c:v>29417</c:v>
                </c:pt>
                <c:pt idx="164">
                  <c:v>40976</c:v>
                </c:pt>
                <c:pt idx="165">
                  <c:v>36255</c:v>
                </c:pt>
                <c:pt idx="166">
                  <c:v>22563</c:v>
                </c:pt>
                <c:pt idx="167">
                  <c:v>20647</c:v>
                </c:pt>
                <c:pt idx="168">
                  <c:v>21287</c:v>
                </c:pt>
                <c:pt idx="169">
                  <c:v>21235</c:v>
                </c:pt>
                <c:pt idx="170">
                  <c:v>16399</c:v>
                </c:pt>
                <c:pt idx="171">
                  <c:v>14311</c:v>
                </c:pt>
                <c:pt idx="172">
                  <c:v>19301</c:v>
                </c:pt>
                <c:pt idx="173">
                  <c:v>18015</c:v>
                </c:pt>
                <c:pt idx="174">
                  <c:v>19976</c:v>
                </c:pt>
                <c:pt idx="175">
                  <c:v>25175</c:v>
                </c:pt>
                <c:pt idx="176">
                  <c:v>32517</c:v>
                </c:pt>
                <c:pt idx="177">
                  <c:v>30864</c:v>
                </c:pt>
                <c:pt idx="178">
                  <c:v>21194</c:v>
                </c:pt>
                <c:pt idx="179">
                  <c:v>19459</c:v>
                </c:pt>
                <c:pt idx="180">
                  <c:v>23871</c:v>
                </c:pt>
                <c:pt idx="181">
                  <c:v>21427</c:v>
                </c:pt>
                <c:pt idx="182">
                  <c:v>18725</c:v>
                </c:pt>
                <c:pt idx="183">
                  <c:v>14550</c:v>
                </c:pt>
                <c:pt idx="184">
                  <c:v>20069</c:v>
                </c:pt>
                <c:pt idx="185">
                  <c:v>18767</c:v>
                </c:pt>
                <c:pt idx="186">
                  <c:v>22234</c:v>
                </c:pt>
                <c:pt idx="187">
                  <c:v>28898</c:v>
                </c:pt>
                <c:pt idx="188">
                  <c:v>38176</c:v>
                </c:pt>
                <c:pt idx="189">
                  <c:v>36613</c:v>
                </c:pt>
                <c:pt idx="190">
                  <c:v>26445</c:v>
                </c:pt>
                <c:pt idx="191">
                  <c:v>23559</c:v>
                </c:pt>
                <c:pt idx="192">
                  <c:v>23673</c:v>
                </c:pt>
                <c:pt idx="193">
                  <c:v>27249</c:v>
                </c:pt>
                <c:pt idx="194">
                  <c:v>17024</c:v>
                </c:pt>
                <c:pt idx="195">
                  <c:v>15851</c:v>
                </c:pt>
                <c:pt idx="196">
                  <c:v>19916</c:v>
                </c:pt>
                <c:pt idx="197">
                  <c:v>17271</c:v>
                </c:pt>
                <c:pt idx="198">
                  <c:v>21380</c:v>
                </c:pt>
                <c:pt idx="199">
                  <c:v>25570</c:v>
                </c:pt>
                <c:pt idx="200">
                  <c:v>32267</c:v>
                </c:pt>
                <c:pt idx="201">
                  <c:v>29186</c:v>
                </c:pt>
                <c:pt idx="202">
                  <c:v>20239</c:v>
                </c:pt>
                <c:pt idx="203">
                  <c:v>17336</c:v>
                </c:pt>
                <c:pt idx="204">
                  <c:v>25400</c:v>
                </c:pt>
                <c:pt idx="205">
                  <c:v>14948</c:v>
                </c:pt>
                <c:pt idx="206">
                  <c:v>19553</c:v>
                </c:pt>
                <c:pt idx="207">
                  <c:v>12161</c:v>
                </c:pt>
                <c:pt idx="208">
                  <c:v>17297</c:v>
                </c:pt>
                <c:pt idx="209">
                  <c:v>14098</c:v>
                </c:pt>
                <c:pt idx="210">
                  <c:v>18042</c:v>
                </c:pt>
                <c:pt idx="211">
                  <c:v>22229</c:v>
                </c:pt>
                <c:pt idx="212">
                  <c:v>28436</c:v>
                </c:pt>
                <c:pt idx="213">
                  <c:v>25676</c:v>
                </c:pt>
                <c:pt idx="214">
                  <c:v>14628</c:v>
                </c:pt>
                <c:pt idx="215">
                  <c:v>16556</c:v>
                </c:pt>
                <c:pt idx="216">
                  <c:v>18847</c:v>
                </c:pt>
                <c:pt idx="217">
                  <c:v>15653</c:v>
                </c:pt>
                <c:pt idx="218">
                  <c:v>12327</c:v>
                </c:pt>
                <c:pt idx="219">
                  <c:v>10193</c:v>
                </c:pt>
                <c:pt idx="220">
                  <c:v>17683</c:v>
                </c:pt>
                <c:pt idx="221">
                  <c:v>15869</c:v>
                </c:pt>
                <c:pt idx="222">
                  <c:v>17650</c:v>
                </c:pt>
                <c:pt idx="223">
                  <c:v>24819</c:v>
                </c:pt>
                <c:pt idx="224">
                  <c:v>33743</c:v>
                </c:pt>
                <c:pt idx="225">
                  <c:v>27530</c:v>
                </c:pt>
                <c:pt idx="226">
                  <c:v>13806</c:v>
                </c:pt>
                <c:pt idx="227">
                  <c:v>13448</c:v>
                </c:pt>
                <c:pt idx="228">
                  <c:v>13981</c:v>
                </c:pt>
                <c:pt idx="229">
                  <c:v>18561</c:v>
                </c:pt>
                <c:pt idx="230">
                  <c:v>8182</c:v>
                </c:pt>
                <c:pt idx="231">
                  <c:v>6251</c:v>
                </c:pt>
                <c:pt idx="232">
                  <c:v>11819</c:v>
                </c:pt>
                <c:pt idx="233">
                  <c:v>5708</c:v>
                </c:pt>
                <c:pt idx="234">
                  <c:v>9059</c:v>
                </c:pt>
                <c:pt idx="235">
                  <c:v>11568</c:v>
                </c:pt>
                <c:pt idx="236">
                  <c:v>14184</c:v>
                </c:pt>
                <c:pt idx="237">
                  <c:v>9995</c:v>
                </c:pt>
                <c:pt idx="238">
                  <c:v>7231</c:v>
                </c:pt>
                <c:pt idx="239">
                  <c:v>5427</c:v>
                </c:pt>
                <c:pt idx="240">
                  <c:v>11579</c:v>
                </c:pt>
                <c:pt idx="241">
                  <c:v>7830</c:v>
                </c:pt>
                <c:pt idx="242">
                  <c:v>6264</c:v>
                </c:pt>
                <c:pt idx="243">
                  <c:v>4859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E-4B70-BEB7-EDA422A39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506416"/>
        <c:axId val="683935856"/>
      </c:lineChart>
      <c:catAx>
        <c:axId val="14995064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3935856"/>
        <c:crosses val="autoZero"/>
        <c:auto val="1"/>
        <c:lblAlgn val="ctr"/>
        <c:lblOffset val="100"/>
        <c:noMultiLvlLbl val="0"/>
      </c:catAx>
      <c:valAx>
        <c:axId val="68393585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950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Media</a:t>
            </a:r>
            <a:r>
              <a:rPr lang="es-ES" baseline="0"/>
              <a:t> móvil</a:t>
            </a:r>
          </a:p>
          <a:p>
            <a:pPr>
              <a:defRPr/>
            </a:pP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'Análisis tendencia'!$J$4</c:f>
              <c:strCache>
                <c:ptCount val="1"/>
                <c:pt idx="0">
                  <c:v>Media móvil salidas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tendencia'!$D$5:$D$248</c:f>
              <c:strCache>
                <c:ptCount val="244"/>
                <c:pt idx="0">
                  <c:v>Abr 26</c:v>
                </c:pt>
                <c:pt idx="1">
                  <c:v>Mar 26</c:v>
                </c:pt>
                <c:pt idx="2">
                  <c:v>Feb 26</c:v>
                </c:pt>
                <c:pt idx="3">
                  <c:v>Ene 26</c:v>
                </c:pt>
                <c:pt idx="4">
                  <c:v>Dic 25</c:v>
                </c:pt>
                <c:pt idx="5">
                  <c:v>Nov 25</c:v>
                </c:pt>
                <c:pt idx="6">
                  <c:v>Oct 25</c:v>
                </c:pt>
                <c:pt idx="7">
                  <c:v>Sep 25</c:v>
                </c:pt>
                <c:pt idx="8">
                  <c:v>Ago 25</c:v>
                </c:pt>
                <c:pt idx="9">
                  <c:v>Jul 25</c:v>
                </c:pt>
                <c:pt idx="10">
                  <c:v>Jun 25</c:v>
                </c:pt>
                <c:pt idx="11">
                  <c:v>May 25</c:v>
                </c:pt>
                <c:pt idx="12">
                  <c:v>Abr 25</c:v>
                </c:pt>
                <c:pt idx="13">
                  <c:v>Mar 25</c:v>
                </c:pt>
                <c:pt idx="14">
                  <c:v>Feb 25</c:v>
                </c:pt>
                <c:pt idx="15">
                  <c:v>Ene 25</c:v>
                </c:pt>
                <c:pt idx="16">
                  <c:v>Dic 24</c:v>
                </c:pt>
                <c:pt idx="17">
                  <c:v>Nov 24</c:v>
                </c:pt>
                <c:pt idx="18">
                  <c:v>Oct 24</c:v>
                </c:pt>
                <c:pt idx="19">
                  <c:v>Sep 24</c:v>
                </c:pt>
                <c:pt idx="20">
                  <c:v>Ago 24</c:v>
                </c:pt>
                <c:pt idx="21">
                  <c:v>Jul 24</c:v>
                </c:pt>
                <c:pt idx="22">
                  <c:v>Jun 24</c:v>
                </c:pt>
                <c:pt idx="23">
                  <c:v>May 24</c:v>
                </c:pt>
                <c:pt idx="24">
                  <c:v>Abr 24</c:v>
                </c:pt>
                <c:pt idx="25">
                  <c:v>Mar 24</c:v>
                </c:pt>
                <c:pt idx="26">
                  <c:v>Feb 24</c:v>
                </c:pt>
                <c:pt idx="27">
                  <c:v>Ene 24</c:v>
                </c:pt>
                <c:pt idx="28">
                  <c:v>Dic 23</c:v>
                </c:pt>
                <c:pt idx="29">
                  <c:v>Nov 23</c:v>
                </c:pt>
                <c:pt idx="30">
                  <c:v>Oct 23</c:v>
                </c:pt>
                <c:pt idx="31">
                  <c:v>Sep 23</c:v>
                </c:pt>
                <c:pt idx="32">
                  <c:v>Ago 23</c:v>
                </c:pt>
                <c:pt idx="33">
                  <c:v>Jul 23</c:v>
                </c:pt>
                <c:pt idx="34">
                  <c:v>Jun 23</c:v>
                </c:pt>
                <c:pt idx="35">
                  <c:v>May 23</c:v>
                </c:pt>
                <c:pt idx="36">
                  <c:v>Abr 23</c:v>
                </c:pt>
                <c:pt idx="37">
                  <c:v>Mar 23</c:v>
                </c:pt>
                <c:pt idx="38">
                  <c:v>Feb 23</c:v>
                </c:pt>
                <c:pt idx="39">
                  <c:v>Ene 23</c:v>
                </c:pt>
                <c:pt idx="40">
                  <c:v>Dic 22</c:v>
                </c:pt>
                <c:pt idx="41">
                  <c:v>Nov 22</c:v>
                </c:pt>
                <c:pt idx="42">
                  <c:v>Oct 22</c:v>
                </c:pt>
                <c:pt idx="43">
                  <c:v>Sep 22</c:v>
                </c:pt>
                <c:pt idx="44">
                  <c:v>Ago 22</c:v>
                </c:pt>
                <c:pt idx="45">
                  <c:v>Jul 22</c:v>
                </c:pt>
                <c:pt idx="46">
                  <c:v>Jun 22</c:v>
                </c:pt>
                <c:pt idx="47">
                  <c:v>May 22</c:v>
                </c:pt>
                <c:pt idx="48">
                  <c:v>Abr 22</c:v>
                </c:pt>
                <c:pt idx="49">
                  <c:v>Mar 22</c:v>
                </c:pt>
                <c:pt idx="50">
                  <c:v>Feb 22</c:v>
                </c:pt>
                <c:pt idx="51">
                  <c:v>Ene 22</c:v>
                </c:pt>
                <c:pt idx="52">
                  <c:v>dic-19</c:v>
                </c:pt>
                <c:pt idx="53">
                  <c:v>nov-19</c:v>
                </c:pt>
                <c:pt idx="54">
                  <c:v>oct-19</c:v>
                </c:pt>
                <c:pt idx="55">
                  <c:v>sep-19</c:v>
                </c:pt>
                <c:pt idx="56">
                  <c:v>ago-19</c:v>
                </c:pt>
                <c:pt idx="57">
                  <c:v>jul-19</c:v>
                </c:pt>
                <c:pt idx="58">
                  <c:v>jun-19</c:v>
                </c:pt>
                <c:pt idx="59">
                  <c:v>may-19</c:v>
                </c:pt>
                <c:pt idx="60">
                  <c:v>abr-19</c:v>
                </c:pt>
                <c:pt idx="61">
                  <c:v>mar-19</c:v>
                </c:pt>
                <c:pt idx="62">
                  <c:v>feb-19</c:v>
                </c:pt>
                <c:pt idx="63">
                  <c:v>ene-19</c:v>
                </c:pt>
                <c:pt idx="64">
                  <c:v>dic-18</c:v>
                </c:pt>
                <c:pt idx="65">
                  <c:v>nov-18</c:v>
                </c:pt>
                <c:pt idx="66">
                  <c:v>oct-18</c:v>
                </c:pt>
                <c:pt idx="67">
                  <c:v>sep-18</c:v>
                </c:pt>
                <c:pt idx="68">
                  <c:v>ago-18</c:v>
                </c:pt>
                <c:pt idx="69">
                  <c:v>jul-18</c:v>
                </c:pt>
                <c:pt idx="70">
                  <c:v>jun-18</c:v>
                </c:pt>
                <c:pt idx="71">
                  <c:v>may-18</c:v>
                </c:pt>
                <c:pt idx="72">
                  <c:v>abr-18</c:v>
                </c:pt>
                <c:pt idx="73">
                  <c:v>mar-18</c:v>
                </c:pt>
                <c:pt idx="74">
                  <c:v>feb-18</c:v>
                </c:pt>
                <c:pt idx="75">
                  <c:v>ene-18</c:v>
                </c:pt>
                <c:pt idx="76">
                  <c:v>dic-17</c:v>
                </c:pt>
                <c:pt idx="77">
                  <c:v>nov-17</c:v>
                </c:pt>
                <c:pt idx="78">
                  <c:v>oct-17</c:v>
                </c:pt>
                <c:pt idx="79">
                  <c:v>sep-17</c:v>
                </c:pt>
                <c:pt idx="80">
                  <c:v>ago-17</c:v>
                </c:pt>
                <c:pt idx="81">
                  <c:v>jul-17</c:v>
                </c:pt>
                <c:pt idx="82">
                  <c:v>jun-17</c:v>
                </c:pt>
                <c:pt idx="83">
                  <c:v>may-17</c:v>
                </c:pt>
                <c:pt idx="84">
                  <c:v>abr-17</c:v>
                </c:pt>
                <c:pt idx="85">
                  <c:v>mar-17</c:v>
                </c:pt>
                <c:pt idx="86">
                  <c:v>feb-17</c:v>
                </c:pt>
                <c:pt idx="87">
                  <c:v>ene-17</c:v>
                </c:pt>
                <c:pt idx="88">
                  <c:v>dic-16</c:v>
                </c:pt>
                <c:pt idx="89">
                  <c:v>nov-16</c:v>
                </c:pt>
                <c:pt idx="90">
                  <c:v>oct-16</c:v>
                </c:pt>
                <c:pt idx="91">
                  <c:v>sep-16</c:v>
                </c:pt>
                <c:pt idx="92">
                  <c:v>ago-16</c:v>
                </c:pt>
                <c:pt idx="93">
                  <c:v>jul-16</c:v>
                </c:pt>
                <c:pt idx="94">
                  <c:v>jun-16</c:v>
                </c:pt>
                <c:pt idx="95">
                  <c:v>may-16</c:v>
                </c:pt>
                <c:pt idx="96">
                  <c:v>abr-16</c:v>
                </c:pt>
                <c:pt idx="97">
                  <c:v>mar-16</c:v>
                </c:pt>
                <c:pt idx="98">
                  <c:v>feb-16</c:v>
                </c:pt>
                <c:pt idx="99">
                  <c:v>ene-16</c:v>
                </c:pt>
                <c:pt idx="100">
                  <c:v>dic-15</c:v>
                </c:pt>
                <c:pt idx="101">
                  <c:v>nov-15</c:v>
                </c:pt>
                <c:pt idx="102">
                  <c:v>oct-15</c:v>
                </c:pt>
                <c:pt idx="103">
                  <c:v>sep-15</c:v>
                </c:pt>
                <c:pt idx="104">
                  <c:v>ago-15</c:v>
                </c:pt>
                <c:pt idx="105">
                  <c:v>jul-15</c:v>
                </c:pt>
                <c:pt idx="106">
                  <c:v>jun-15</c:v>
                </c:pt>
                <c:pt idx="107">
                  <c:v>may-15</c:v>
                </c:pt>
                <c:pt idx="108">
                  <c:v>abr-15</c:v>
                </c:pt>
                <c:pt idx="109">
                  <c:v>mar-15</c:v>
                </c:pt>
                <c:pt idx="110">
                  <c:v>feb-15</c:v>
                </c:pt>
                <c:pt idx="111">
                  <c:v>ene-15</c:v>
                </c:pt>
                <c:pt idx="112">
                  <c:v>dic-14</c:v>
                </c:pt>
                <c:pt idx="113">
                  <c:v>nov-14</c:v>
                </c:pt>
                <c:pt idx="114">
                  <c:v>oct-14</c:v>
                </c:pt>
                <c:pt idx="115">
                  <c:v>sep-14</c:v>
                </c:pt>
                <c:pt idx="116">
                  <c:v>ago-14</c:v>
                </c:pt>
                <c:pt idx="117">
                  <c:v>jul-14</c:v>
                </c:pt>
                <c:pt idx="118">
                  <c:v>jun-14</c:v>
                </c:pt>
                <c:pt idx="119">
                  <c:v>may-14</c:v>
                </c:pt>
                <c:pt idx="120">
                  <c:v>abr-14</c:v>
                </c:pt>
                <c:pt idx="121">
                  <c:v>mar-14</c:v>
                </c:pt>
                <c:pt idx="122">
                  <c:v>feb-14</c:v>
                </c:pt>
                <c:pt idx="123">
                  <c:v>ene-14</c:v>
                </c:pt>
                <c:pt idx="124">
                  <c:v>dic-13</c:v>
                </c:pt>
                <c:pt idx="125">
                  <c:v>nov-13</c:v>
                </c:pt>
                <c:pt idx="126">
                  <c:v>oct-13</c:v>
                </c:pt>
                <c:pt idx="127">
                  <c:v>sep-13</c:v>
                </c:pt>
                <c:pt idx="128">
                  <c:v>ago-13</c:v>
                </c:pt>
                <c:pt idx="129">
                  <c:v>jul-13</c:v>
                </c:pt>
                <c:pt idx="130">
                  <c:v>jun-13</c:v>
                </c:pt>
                <c:pt idx="131">
                  <c:v>may-13</c:v>
                </c:pt>
                <c:pt idx="132">
                  <c:v>abr-13</c:v>
                </c:pt>
                <c:pt idx="133">
                  <c:v>mar-13</c:v>
                </c:pt>
                <c:pt idx="134">
                  <c:v>feb-13</c:v>
                </c:pt>
                <c:pt idx="135">
                  <c:v>ene-13</c:v>
                </c:pt>
                <c:pt idx="136">
                  <c:v>dic-12</c:v>
                </c:pt>
                <c:pt idx="137">
                  <c:v>nov-12</c:v>
                </c:pt>
                <c:pt idx="138">
                  <c:v>oct-12</c:v>
                </c:pt>
                <c:pt idx="139">
                  <c:v>sep-12</c:v>
                </c:pt>
                <c:pt idx="140">
                  <c:v>ago-12</c:v>
                </c:pt>
                <c:pt idx="141">
                  <c:v>jul-12</c:v>
                </c:pt>
                <c:pt idx="142">
                  <c:v>jun-12</c:v>
                </c:pt>
                <c:pt idx="143">
                  <c:v>may-12</c:v>
                </c:pt>
                <c:pt idx="144">
                  <c:v>abr-12</c:v>
                </c:pt>
                <c:pt idx="145">
                  <c:v>mar-12</c:v>
                </c:pt>
                <c:pt idx="146">
                  <c:v>feb-12</c:v>
                </c:pt>
                <c:pt idx="147">
                  <c:v>ene-12</c:v>
                </c:pt>
                <c:pt idx="148">
                  <c:v>dic-11</c:v>
                </c:pt>
                <c:pt idx="149">
                  <c:v>nov-11</c:v>
                </c:pt>
                <c:pt idx="150">
                  <c:v>oct-11</c:v>
                </c:pt>
                <c:pt idx="151">
                  <c:v>sep-11</c:v>
                </c:pt>
                <c:pt idx="152">
                  <c:v>ago-11</c:v>
                </c:pt>
                <c:pt idx="153">
                  <c:v>jul-11</c:v>
                </c:pt>
                <c:pt idx="154">
                  <c:v>jun-11</c:v>
                </c:pt>
                <c:pt idx="155">
                  <c:v>may-11</c:v>
                </c:pt>
                <c:pt idx="156">
                  <c:v>abr-11</c:v>
                </c:pt>
                <c:pt idx="157">
                  <c:v>mar-11</c:v>
                </c:pt>
                <c:pt idx="158">
                  <c:v>feb-11</c:v>
                </c:pt>
                <c:pt idx="159">
                  <c:v>ene-11</c:v>
                </c:pt>
                <c:pt idx="160">
                  <c:v>dic-10</c:v>
                </c:pt>
                <c:pt idx="161">
                  <c:v>nov-10</c:v>
                </c:pt>
                <c:pt idx="162">
                  <c:v>oct-10</c:v>
                </c:pt>
                <c:pt idx="163">
                  <c:v>sep-10</c:v>
                </c:pt>
                <c:pt idx="164">
                  <c:v>ago-10</c:v>
                </c:pt>
                <c:pt idx="165">
                  <c:v>jul-10</c:v>
                </c:pt>
                <c:pt idx="166">
                  <c:v>jun-10</c:v>
                </c:pt>
                <c:pt idx="167">
                  <c:v>may-10</c:v>
                </c:pt>
                <c:pt idx="168">
                  <c:v>abr-10</c:v>
                </c:pt>
                <c:pt idx="169">
                  <c:v>mar-10</c:v>
                </c:pt>
                <c:pt idx="170">
                  <c:v>feb-10</c:v>
                </c:pt>
                <c:pt idx="171">
                  <c:v>ene-10</c:v>
                </c:pt>
                <c:pt idx="172">
                  <c:v>dic-09</c:v>
                </c:pt>
                <c:pt idx="173">
                  <c:v>nov-09</c:v>
                </c:pt>
                <c:pt idx="174">
                  <c:v>oct-09</c:v>
                </c:pt>
                <c:pt idx="175">
                  <c:v>sep-09</c:v>
                </c:pt>
                <c:pt idx="176">
                  <c:v>ago-09</c:v>
                </c:pt>
                <c:pt idx="177">
                  <c:v>jul-09</c:v>
                </c:pt>
                <c:pt idx="178">
                  <c:v>jun-09</c:v>
                </c:pt>
                <c:pt idx="179">
                  <c:v>may-09</c:v>
                </c:pt>
                <c:pt idx="180">
                  <c:v>abr-09</c:v>
                </c:pt>
                <c:pt idx="181">
                  <c:v>mar-09</c:v>
                </c:pt>
                <c:pt idx="182">
                  <c:v>feb-09</c:v>
                </c:pt>
                <c:pt idx="183">
                  <c:v>ene-09</c:v>
                </c:pt>
                <c:pt idx="184">
                  <c:v>dic-08</c:v>
                </c:pt>
                <c:pt idx="185">
                  <c:v>nov-08</c:v>
                </c:pt>
                <c:pt idx="186">
                  <c:v>oct-08</c:v>
                </c:pt>
                <c:pt idx="187">
                  <c:v>sep-08</c:v>
                </c:pt>
                <c:pt idx="188">
                  <c:v>ago-08</c:v>
                </c:pt>
                <c:pt idx="189">
                  <c:v>jul-08</c:v>
                </c:pt>
                <c:pt idx="190">
                  <c:v>jun-08</c:v>
                </c:pt>
                <c:pt idx="191">
                  <c:v>may-08</c:v>
                </c:pt>
                <c:pt idx="192">
                  <c:v>abr-08</c:v>
                </c:pt>
                <c:pt idx="193">
                  <c:v>mar-08</c:v>
                </c:pt>
                <c:pt idx="194">
                  <c:v>feb-08</c:v>
                </c:pt>
                <c:pt idx="195">
                  <c:v>ene-08</c:v>
                </c:pt>
                <c:pt idx="196">
                  <c:v>dic-07</c:v>
                </c:pt>
                <c:pt idx="197">
                  <c:v>nov-07</c:v>
                </c:pt>
                <c:pt idx="198">
                  <c:v>oct-07</c:v>
                </c:pt>
                <c:pt idx="199">
                  <c:v>sep-07</c:v>
                </c:pt>
                <c:pt idx="200">
                  <c:v>ago-07</c:v>
                </c:pt>
                <c:pt idx="201">
                  <c:v>jul-07</c:v>
                </c:pt>
                <c:pt idx="202">
                  <c:v>jun-07</c:v>
                </c:pt>
                <c:pt idx="203">
                  <c:v>may-07</c:v>
                </c:pt>
                <c:pt idx="204">
                  <c:v>abr-07</c:v>
                </c:pt>
                <c:pt idx="205">
                  <c:v>mar-07</c:v>
                </c:pt>
                <c:pt idx="206">
                  <c:v>feb-07</c:v>
                </c:pt>
                <c:pt idx="207">
                  <c:v>ene-07</c:v>
                </c:pt>
                <c:pt idx="208">
                  <c:v>dic-06</c:v>
                </c:pt>
                <c:pt idx="209">
                  <c:v>nov-06</c:v>
                </c:pt>
                <c:pt idx="210">
                  <c:v>oct-06</c:v>
                </c:pt>
                <c:pt idx="211">
                  <c:v>sep-06</c:v>
                </c:pt>
                <c:pt idx="212">
                  <c:v>ago-06</c:v>
                </c:pt>
                <c:pt idx="213">
                  <c:v>jul-06</c:v>
                </c:pt>
                <c:pt idx="214">
                  <c:v>jun-06</c:v>
                </c:pt>
                <c:pt idx="215">
                  <c:v>may-06</c:v>
                </c:pt>
                <c:pt idx="216">
                  <c:v>abr-06</c:v>
                </c:pt>
                <c:pt idx="217">
                  <c:v>mar-06</c:v>
                </c:pt>
                <c:pt idx="218">
                  <c:v>feb-06</c:v>
                </c:pt>
                <c:pt idx="219">
                  <c:v>ene-06</c:v>
                </c:pt>
                <c:pt idx="220">
                  <c:v>dic-05</c:v>
                </c:pt>
                <c:pt idx="221">
                  <c:v>nov-05</c:v>
                </c:pt>
                <c:pt idx="222">
                  <c:v>oct-05</c:v>
                </c:pt>
                <c:pt idx="223">
                  <c:v>sep-05</c:v>
                </c:pt>
                <c:pt idx="224">
                  <c:v>ago-05</c:v>
                </c:pt>
                <c:pt idx="225">
                  <c:v>jul-05</c:v>
                </c:pt>
                <c:pt idx="226">
                  <c:v>jun-05</c:v>
                </c:pt>
                <c:pt idx="227">
                  <c:v>may-05</c:v>
                </c:pt>
                <c:pt idx="228">
                  <c:v>abr-05</c:v>
                </c:pt>
                <c:pt idx="229">
                  <c:v>mar-05</c:v>
                </c:pt>
                <c:pt idx="230">
                  <c:v>feb-05</c:v>
                </c:pt>
                <c:pt idx="231">
                  <c:v>ene-05</c:v>
                </c:pt>
                <c:pt idx="232">
                  <c:v>dic-04</c:v>
                </c:pt>
                <c:pt idx="233">
                  <c:v>nov-04</c:v>
                </c:pt>
                <c:pt idx="234">
                  <c:v>oct-04</c:v>
                </c:pt>
                <c:pt idx="235">
                  <c:v>sep-04</c:v>
                </c:pt>
                <c:pt idx="236">
                  <c:v>ago-04</c:v>
                </c:pt>
                <c:pt idx="237">
                  <c:v>jul-04</c:v>
                </c:pt>
                <c:pt idx="238">
                  <c:v>jun-04</c:v>
                </c:pt>
                <c:pt idx="239">
                  <c:v>may-04</c:v>
                </c:pt>
                <c:pt idx="240">
                  <c:v>abr-04</c:v>
                </c:pt>
                <c:pt idx="241">
                  <c:v>mar-04</c:v>
                </c:pt>
                <c:pt idx="242">
                  <c:v>feb-04</c:v>
                </c:pt>
                <c:pt idx="243">
                  <c:v>ene-04</c:v>
                </c:pt>
              </c:strCache>
            </c:strRef>
          </c:cat>
          <c:val>
            <c:numRef>
              <c:f>'Análisis tendencia'!$J$5:$J$248</c:f>
              <c:numCache>
                <c:formatCode>General</c:formatCode>
                <c:ptCount val="244"/>
                <c:pt idx="6">
                  <c:v>29620.416666666668</c:v>
                </c:pt>
                <c:pt idx="7">
                  <c:v>29712.458333333332</c:v>
                </c:pt>
                <c:pt idx="8">
                  <c:v>29674.25</c:v>
                </c:pt>
                <c:pt idx="9">
                  <c:v>29643.083333333332</c:v>
                </c:pt>
                <c:pt idx="10">
                  <c:v>29676.458333333332</c:v>
                </c:pt>
                <c:pt idx="11">
                  <c:v>29746.208333333332</c:v>
                </c:pt>
                <c:pt idx="12">
                  <c:v>29645.166666666668</c:v>
                </c:pt>
                <c:pt idx="13">
                  <c:v>29582.541666666668</c:v>
                </c:pt>
                <c:pt idx="14">
                  <c:v>29555.666666666668</c:v>
                </c:pt>
                <c:pt idx="15">
                  <c:v>29384.125</c:v>
                </c:pt>
                <c:pt idx="16">
                  <c:v>29358.5</c:v>
                </c:pt>
                <c:pt idx="17">
                  <c:v>29365.333333333332</c:v>
                </c:pt>
                <c:pt idx="18">
                  <c:v>29088.291666666668</c:v>
                </c:pt>
                <c:pt idx="19">
                  <c:v>28932.5</c:v>
                </c:pt>
                <c:pt idx="20">
                  <c:v>28945.416666666668</c:v>
                </c:pt>
                <c:pt idx="21">
                  <c:v>28929.291666666668</c:v>
                </c:pt>
                <c:pt idx="22">
                  <c:v>28874.75</c:v>
                </c:pt>
                <c:pt idx="23">
                  <c:v>28654.083333333332</c:v>
                </c:pt>
                <c:pt idx="24">
                  <c:v>28455.375</c:v>
                </c:pt>
                <c:pt idx="25">
                  <c:v>28360.791666666668</c:v>
                </c:pt>
                <c:pt idx="26">
                  <c:v>28382.541666666668</c:v>
                </c:pt>
                <c:pt idx="27">
                  <c:v>28529.75</c:v>
                </c:pt>
                <c:pt idx="28">
                  <c:v>28479.958333333332</c:v>
                </c:pt>
                <c:pt idx="29">
                  <c:v>28218</c:v>
                </c:pt>
                <c:pt idx="30">
                  <c:v>28207.166666666668</c:v>
                </c:pt>
                <c:pt idx="31">
                  <c:v>28325.833333333332</c:v>
                </c:pt>
                <c:pt idx="32">
                  <c:v>28396.583333333332</c:v>
                </c:pt>
                <c:pt idx="33">
                  <c:v>28572.75</c:v>
                </c:pt>
                <c:pt idx="34">
                  <c:v>28753</c:v>
                </c:pt>
                <c:pt idx="35">
                  <c:v>28919.291666666668</c:v>
                </c:pt>
                <c:pt idx="36">
                  <c:v>29009.083333333332</c:v>
                </c:pt>
                <c:pt idx="37">
                  <c:v>28987.958333333332</c:v>
                </c:pt>
                <c:pt idx="38">
                  <c:v>28951.708333333332</c:v>
                </c:pt>
                <c:pt idx="39">
                  <c:v>28898</c:v>
                </c:pt>
                <c:pt idx="40">
                  <c:v>28969.375</c:v>
                </c:pt>
                <c:pt idx="41">
                  <c:v>28997</c:v>
                </c:pt>
                <c:pt idx="42">
                  <c:v>28698.666666666668</c:v>
                </c:pt>
                <c:pt idx="43">
                  <c:v>28261.375</c:v>
                </c:pt>
                <c:pt idx="44">
                  <c:v>27697.583333333332</c:v>
                </c:pt>
                <c:pt idx="45">
                  <c:v>26850.916666666668</c:v>
                </c:pt>
                <c:pt idx="46">
                  <c:v>25808.375</c:v>
                </c:pt>
                <c:pt idx="47">
                  <c:v>24842.25</c:v>
                </c:pt>
                <c:pt idx="48">
                  <c:v>23808.041666666668</c:v>
                </c:pt>
                <c:pt idx="49">
                  <c:v>22678.583333333332</c:v>
                </c:pt>
                <c:pt idx="50">
                  <c:v>21441.833333333332</c:v>
                </c:pt>
                <c:pt idx="51">
                  <c:v>20080.166666666668</c:v>
                </c:pt>
                <c:pt idx="52">
                  <c:v>18751.416666666668</c:v>
                </c:pt>
                <c:pt idx="53">
                  <c:v>17558.375</c:v>
                </c:pt>
                <c:pt idx="54">
                  <c:v>16543.75</c:v>
                </c:pt>
                <c:pt idx="55">
                  <c:v>15581.541666666666</c:v>
                </c:pt>
                <c:pt idx="56">
                  <c:v>14927.375</c:v>
                </c:pt>
                <c:pt idx="57">
                  <c:v>14619.041666666666</c:v>
                </c:pt>
                <c:pt idx="58">
                  <c:v>14616</c:v>
                </c:pt>
                <c:pt idx="59">
                  <c:v>14782.791666666666</c:v>
                </c:pt>
                <c:pt idx="60">
                  <c:v>15000.041666666666</c:v>
                </c:pt>
                <c:pt idx="61">
                  <c:v>15513.166666666666</c:v>
                </c:pt>
                <c:pt idx="62">
                  <c:v>16403.333333333332</c:v>
                </c:pt>
                <c:pt idx="63">
                  <c:v>17428.5</c:v>
                </c:pt>
                <c:pt idx="64">
                  <c:v>18256.5</c:v>
                </c:pt>
                <c:pt idx="65">
                  <c:v>18777.333333333332</c:v>
                </c:pt>
                <c:pt idx="66">
                  <c:v>19144.958333333332</c:v>
                </c:pt>
                <c:pt idx="67">
                  <c:v>19635.166666666668</c:v>
                </c:pt>
                <c:pt idx="68">
                  <c:v>20070.375</c:v>
                </c:pt>
                <c:pt idx="69">
                  <c:v>20330.666666666668</c:v>
                </c:pt>
                <c:pt idx="70">
                  <c:v>20402.25</c:v>
                </c:pt>
                <c:pt idx="71">
                  <c:v>20306.708333333332</c:v>
                </c:pt>
                <c:pt idx="72">
                  <c:v>20222.25</c:v>
                </c:pt>
                <c:pt idx="73">
                  <c:v>19958.5</c:v>
                </c:pt>
                <c:pt idx="74">
                  <c:v>19472</c:v>
                </c:pt>
                <c:pt idx="75">
                  <c:v>18958.25</c:v>
                </c:pt>
                <c:pt idx="76">
                  <c:v>18532.125</c:v>
                </c:pt>
                <c:pt idx="77">
                  <c:v>18306.25</c:v>
                </c:pt>
                <c:pt idx="78">
                  <c:v>18322.208333333332</c:v>
                </c:pt>
                <c:pt idx="79">
                  <c:v>18413</c:v>
                </c:pt>
                <c:pt idx="80">
                  <c:v>18393.291666666668</c:v>
                </c:pt>
                <c:pt idx="81">
                  <c:v>18317.208333333332</c:v>
                </c:pt>
                <c:pt idx="82">
                  <c:v>18330.666666666668</c:v>
                </c:pt>
                <c:pt idx="83">
                  <c:v>18398.875</c:v>
                </c:pt>
                <c:pt idx="84">
                  <c:v>18387.166666666668</c:v>
                </c:pt>
                <c:pt idx="85">
                  <c:v>18236.333333333332</c:v>
                </c:pt>
                <c:pt idx="86">
                  <c:v>18043.958333333332</c:v>
                </c:pt>
                <c:pt idx="87">
                  <c:v>17849.583333333332</c:v>
                </c:pt>
                <c:pt idx="88">
                  <c:v>17672.083333333332</c:v>
                </c:pt>
                <c:pt idx="89">
                  <c:v>17614.916666666668</c:v>
                </c:pt>
                <c:pt idx="90">
                  <c:v>17500.5</c:v>
                </c:pt>
                <c:pt idx="91">
                  <c:v>17398.666666666668</c:v>
                </c:pt>
                <c:pt idx="92">
                  <c:v>17514.25</c:v>
                </c:pt>
                <c:pt idx="93">
                  <c:v>17636.666666666668</c:v>
                </c:pt>
                <c:pt idx="94">
                  <c:v>17659.75</c:v>
                </c:pt>
                <c:pt idx="95">
                  <c:v>17599.083333333332</c:v>
                </c:pt>
                <c:pt idx="96">
                  <c:v>17556.875</c:v>
                </c:pt>
                <c:pt idx="97">
                  <c:v>17661.541666666668</c:v>
                </c:pt>
                <c:pt idx="98">
                  <c:v>17804.291666666668</c:v>
                </c:pt>
                <c:pt idx="99">
                  <c:v>17902.833333333332</c:v>
                </c:pt>
                <c:pt idx="100">
                  <c:v>17930.833333333332</c:v>
                </c:pt>
                <c:pt idx="101">
                  <c:v>17846.333333333332</c:v>
                </c:pt>
                <c:pt idx="102">
                  <c:v>17851.5</c:v>
                </c:pt>
                <c:pt idx="103">
                  <c:v>17855.625</c:v>
                </c:pt>
                <c:pt idx="104">
                  <c:v>17837</c:v>
                </c:pt>
                <c:pt idx="105">
                  <c:v>17877.125</c:v>
                </c:pt>
                <c:pt idx="106">
                  <c:v>17894.291666666668</c:v>
                </c:pt>
                <c:pt idx="107">
                  <c:v>18055.375</c:v>
                </c:pt>
                <c:pt idx="108">
                  <c:v>18207.125</c:v>
                </c:pt>
                <c:pt idx="109">
                  <c:v>18157.916666666668</c:v>
                </c:pt>
                <c:pt idx="110">
                  <c:v>18006.875</c:v>
                </c:pt>
                <c:pt idx="111">
                  <c:v>17935.125</c:v>
                </c:pt>
                <c:pt idx="112">
                  <c:v>17897.541666666668</c:v>
                </c:pt>
                <c:pt idx="113">
                  <c:v>17839.666666666668</c:v>
                </c:pt>
                <c:pt idx="114">
                  <c:v>17767.291666666668</c:v>
                </c:pt>
                <c:pt idx="115">
                  <c:v>17672.083333333332</c:v>
                </c:pt>
                <c:pt idx="116">
                  <c:v>17608.958333333332</c:v>
                </c:pt>
                <c:pt idx="117">
                  <c:v>17558.541666666668</c:v>
                </c:pt>
                <c:pt idx="118">
                  <c:v>17491.708333333332</c:v>
                </c:pt>
                <c:pt idx="119">
                  <c:v>17469.208333333332</c:v>
                </c:pt>
                <c:pt idx="120">
                  <c:v>17450.458333333332</c:v>
                </c:pt>
                <c:pt idx="121">
                  <c:v>17405.375</c:v>
                </c:pt>
                <c:pt idx="122">
                  <c:v>17520.333333333332</c:v>
                </c:pt>
                <c:pt idx="123">
                  <c:v>17606.375</c:v>
                </c:pt>
                <c:pt idx="124">
                  <c:v>17653.375</c:v>
                </c:pt>
                <c:pt idx="125">
                  <c:v>17797.458333333332</c:v>
                </c:pt>
                <c:pt idx="126">
                  <c:v>17960.416666666668</c:v>
                </c:pt>
                <c:pt idx="127">
                  <c:v>18262.791666666668</c:v>
                </c:pt>
                <c:pt idx="128">
                  <c:v>18599.416666666668</c:v>
                </c:pt>
                <c:pt idx="129">
                  <c:v>18930.875</c:v>
                </c:pt>
                <c:pt idx="130">
                  <c:v>19263.625</c:v>
                </c:pt>
                <c:pt idx="131">
                  <c:v>19515.875</c:v>
                </c:pt>
                <c:pt idx="132">
                  <c:v>20011.166666666668</c:v>
                </c:pt>
                <c:pt idx="133">
                  <c:v>20507.208333333332</c:v>
                </c:pt>
                <c:pt idx="134">
                  <c:v>20769.833333333332</c:v>
                </c:pt>
                <c:pt idx="135">
                  <c:v>21081.166666666668</c:v>
                </c:pt>
                <c:pt idx="136">
                  <c:v>21357.541666666668</c:v>
                </c:pt>
                <c:pt idx="137">
                  <c:v>21546.708333333332</c:v>
                </c:pt>
                <c:pt idx="138">
                  <c:v>21774.958333333332</c:v>
                </c:pt>
                <c:pt idx="139">
                  <c:v>22043.291666666668</c:v>
                </c:pt>
                <c:pt idx="140">
                  <c:v>22387.25</c:v>
                </c:pt>
                <c:pt idx="141">
                  <c:v>22714.541666666668</c:v>
                </c:pt>
                <c:pt idx="142">
                  <c:v>23054.208333333332</c:v>
                </c:pt>
                <c:pt idx="143">
                  <c:v>23510.083333333332</c:v>
                </c:pt>
                <c:pt idx="144">
                  <c:v>24012.833333333332</c:v>
                </c:pt>
                <c:pt idx="145">
                  <c:v>24697.541666666668</c:v>
                </c:pt>
                <c:pt idx="146">
                  <c:v>25641.125</c:v>
                </c:pt>
                <c:pt idx="147">
                  <c:v>26674.166666666668</c:v>
                </c:pt>
                <c:pt idx="148">
                  <c:v>27632.208333333332</c:v>
                </c:pt>
                <c:pt idx="149">
                  <c:v>28593.916666666668</c:v>
                </c:pt>
                <c:pt idx="150">
                  <c:v>29650.541666666668</c:v>
                </c:pt>
                <c:pt idx="151">
                  <c:v>30519.875</c:v>
                </c:pt>
                <c:pt idx="152">
                  <c:v>31000.125</c:v>
                </c:pt>
                <c:pt idx="153">
                  <c:v>31227.958333333332</c:v>
                </c:pt>
                <c:pt idx="154">
                  <c:v>31276.791666666668</c:v>
                </c:pt>
                <c:pt idx="155">
                  <c:v>31394.583333333332</c:v>
                </c:pt>
                <c:pt idx="156">
                  <c:v>31337.75</c:v>
                </c:pt>
                <c:pt idx="157">
                  <c:v>30997.458333333332</c:v>
                </c:pt>
                <c:pt idx="158">
                  <c:v>30806.666666666668</c:v>
                </c:pt>
                <c:pt idx="159">
                  <c:v>30679.541666666668</c:v>
                </c:pt>
                <c:pt idx="160">
                  <c:v>30226.875</c:v>
                </c:pt>
                <c:pt idx="161">
                  <c:v>29422.333333333332</c:v>
                </c:pt>
                <c:pt idx="162">
                  <c:v>28259.166666666668</c:v>
                </c:pt>
                <c:pt idx="163">
                  <c:v>27095.291666666668</c:v>
                </c:pt>
                <c:pt idx="164">
                  <c:v>26261.583333333332</c:v>
                </c:pt>
                <c:pt idx="165">
                  <c:v>25562</c:v>
                </c:pt>
                <c:pt idx="166">
                  <c:v>24996.958333333332</c:v>
                </c:pt>
                <c:pt idx="167">
                  <c:v>24347.5</c:v>
                </c:pt>
                <c:pt idx="168">
                  <c:v>23683</c:v>
                </c:pt>
                <c:pt idx="169">
                  <c:v>23222.041666666668</c:v>
                </c:pt>
                <c:pt idx="170">
                  <c:v>22676.458333333332</c:v>
                </c:pt>
                <c:pt idx="171">
                  <c:v>22076.541666666668</c:v>
                </c:pt>
                <c:pt idx="172">
                  <c:v>21768.625</c:v>
                </c:pt>
                <c:pt idx="173">
                  <c:v>21634</c:v>
                </c:pt>
                <c:pt idx="174">
                  <c:v>21731.5</c:v>
                </c:pt>
                <c:pt idx="175">
                  <c:v>21841.583333333332</c:v>
                </c:pt>
                <c:pt idx="176">
                  <c:v>21861.583333333332</c:v>
                </c:pt>
                <c:pt idx="177">
                  <c:v>21981.291666666668</c:v>
                </c:pt>
                <c:pt idx="178">
                  <c:v>22056.583333333332</c:v>
                </c:pt>
                <c:pt idx="179">
                  <c:v>22131.5</c:v>
                </c:pt>
                <c:pt idx="180">
                  <c:v>22239.541666666668</c:v>
                </c:pt>
                <c:pt idx="181">
                  <c:v>22507.541666666668</c:v>
                </c:pt>
                <c:pt idx="182">
                  <c:v>22959.75</c:v>
                </c:pt>
                <c:pt idx="183">
                  <c:v>23402.666666666668</c:v>
                </c:pt>
                <c:pt idx="184">
                  <c:v>23798.75</c:v>
                </c:pt>
                <c:pt idx="185">
                  <c:v>24150.416666666668</c:v>
                </c:pt>
                <c:pt idx="186">
                  <c:v>24313.875</c:v>
                </c:pt>
                <c:pt idx="187">
                  <c:v>24573.541666666668</c:v>
                </c:pt>
                <c:pt idx="188">
                  <c:v>24756.208333333332</c:v>
                </c:pt>
                <c:pt idx="189">
                  <c:v>24725.416666666668</c:v>
                </c:pt>
                <c:pt idx="190">
                  <c:v>24753.625</c:v>
                </c:pt>
                <c:pt idx="191">
                  <c:v>24655.875</c:v>
                </c:pt>
                <c:pt idx="192">
                  <c:v>24509.75</c:v>
                </c:pt>
                <c:pt idx="193">
                  <c:v>24275.875</c:v>
                </c:pt>
                <c:pt idx="194">
                  <c:v>23846.833333333332</c:v>
                </c:pt>
                <c:pt idx="195">
                  <c:v>23367.833333333332</c:v>
                </c:pt>
                <c:pt idx="196">
                  <c:v>22917.833333333332</c:v>
                </c:pt>
                <c:pt idx="197">
                  <c:v>22479.958333333332</c:v>
                </c:pt>
                <c:pt idx="198">
                  <c:v>22291.333333333332</c:v>
                </c:pt>
                <c:pt idx="199">
                  <c:v>21822.208333333332</c:v>
                </c:pt>
                <c:pt idx="200">
                  <c:v>21425.833333333332</c:v>
                </c:pt>
                <c:pt idx="201">
                  <c:v>21366.333333333332</c:v>
                </c:pt>
                <c:pt idx="202">
                  <c:v>21082.291666666668</c:v>
                </c:pt>
                <c:pt idx="203">
                  <c:v>20842.75</c:v>
                </c:pt>
                <c:pt idx="204">
                  <c:v>20597.166666666668</c:v>
                </c:pt>
                <c:pt idx="205">
                  <c:v>20372.5</c:v>
                </c:pt>
                <c:pt idx="206">
                  <c:v>20121.5</c:v>
                </c:pt>
                <c:pt idx="207">
                  <c:v>19837.083333333332</c:v>
                </c:pt>
                <c:pt idx="208">
                  <c:v>19458.5</c:v>
                </c:pt>
                <c:pt idx="209">
                  <c:v>19142.083333333332</c:v>
                </c:pt>
                <c:pt idx="210">
                  <c:v>18833.541666666668</c:v>
                </c:pt>
                <c:pt idx="211">
                  <c:v>18624.25</c:v>
                </c:pt>
                <c:pt idx="212">
                  <c:v>18363.5</c:v>
                </c:pt>
                <c:pt idx="213">
                  <c:v>18019.166666666668</c:v>
                </c:pt>
                <c:pt idx="214">
                  <c:v>18011.666666666668</c:v>
                </c:pt>
                <c:pt idx="215">
                  <c:v>18151</c:v>
                </c:pt>
                <c:pt idx="216">
                  <c:v>18258.541666666668</c:v>
                </c:pt>
                <c:pt idx="217">
                  <c:v>18360.583333333332</c:v>
                </c:pt>
                <c:pt idx="218">
                  <c:v>18663.666666666668</c:v>
                </c:pt>
                <c:pt idx="219">
                  <c:v>18954.166666666668</c:v>
                </c:pt>
                <c:pt idx="220">
                  <c:v>18991.666666666668</c:v>
                </c:pt>
                <c:pt idx="221">
                  <c:v>18855.458333333332</c:v>
                </c:pt>
                <c:pt idx="222">
                  <c:v>18541.125</c:v>
                </c:pt>
                <c:pt idx="223">
                  <c:v>18472</c:v>
                </c:pt>
                <c:pt idx="224">
                  <c:v>18440.083333333332</c:v>
                </c:pt>
                <c:pt idx="225">
                  <c:v>18050.625</c:v>
                </c:pt>
                <c:pt idx="226">
                  <c:v>17610.416666666668</c:v>
                </c:pt>
                <c:pt idx="227">
                  <c:v>16911.833333333332</c:v>
                </c:pt>
                <c:pt idx="228">
                  <c:v>16047.291666666666</c:v>
                </c:pt>
                <c:pt idx="229">
                  <c:v>15109.791666666666</c:v>
                </c:pt>
                <c:pt idx="230">
                  <c:v>13732.625</c:v>
                </c:pt>
                <c:pt idx="231">
                  <c:v>12153.875</c:v>
                </c:pt>
                <c:pt idx="232">
                  <c:v>11079.791666666666</c:v>
                </c:pt>
                <c:pt idx="233">
                  <c:v>10435.666666666666</c:v>
                </c:pt>
                <c:pt idx="234">
                  <c:v>9994.125</c:v>
                </c:pt>
                <c:pt idx="235">
                  <c:v>9432.375</c:v>
                </c:pt>
                <c:pt idx="236">
                  <c:v>8882.4583333333339</c:v>
                </c:pt>
                <c:pt idx="237">
                  <c:v>8718.5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8-4CB2-9EA2-262F2E798C24}"/>
            </c:ext>
          </c:extLst>
        </c:ser>
        <c:ser>
          <c:idx val="1"/>
          <c:order val="1"/>
          <c:tx>
            <c:strRef>
              <c:f>'Análisis tendencia'!$K$4</c:f>
              <c:strCache>
                <c:ptCount val="1"/>
                <c:pt idx="0">
                  <c:v>media móvil llegadas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'Análisis tendencia'!$D$5:$D$248</c:f>
              <c:strCache>
                <c:ptCount val="244"/>
                <c:pt idx="0">
                  <c:v>Abr 26</c:v>
                </c:pt>
                <c:pt idx="1">
                  <c:v>Mar 26</c:v>
                </c:pt>
                <c:pt idx="2">
                  <c:v>Feb 26</c:v>
                </c:pt>
                <c:pt idx="3">
                  <c:v>Ene 26</c:v>
                </c:pt>
                <c:pt idx="4">
                  <c:v>Dic 25</c:v>
                </c:pt>
                <c:pt idx="5">
                  <c:v>Nov 25</c:v>
                </c:pt>
                <c:pt idx="6">
                  <c:v>Oct 25</c:v>
                </c:pt>
                <c:pt idx="7">
                  <c:v>Sep 25</c:v>
                </c:pt>
                <c:pt idx="8">
                  <c:v>Ago 25</c:v>
                </c:pt>
                <c:pt idx="9">
                  <c:v>Jul 25</c:v>
                </c:pt>
                <c:pt idx="10">
                  <c:v>Jun 25</c:v>
                </c:pt>
                <c:pt idx="11">
                  <c:v>May 25</c:v>
                </c:pt>
                <c:pt idx="12">
                  <c:v>Abr 25</c:v>
                </c:pt>
                <c:pt idx="13">
                  <c:v>Mar 25</c:v>
                </c:pt>
                <c:pt idx="14">
                  <c:v>Feb 25</c:v>
                </c:pt>
                <c:pt idx="15">
                  <c:v>Ene 25</c:v>
                </c:pt>
                <c:pt idx="16">
                  <c:v>Dic 24</c:v>
                </c:pt>
                <c:pt idx="17">
                  <c:v>Nov 24</c:v>
                </c:pt>
                <c:pt idx="18">
                  <c:v>Oct 24</c:v>
                </c:pt>
                <c:pt idx="19">
                  <c:v>Sep 24</c:v>
                </c:pt>
                <c:pt idx="20">
                  <c:v>Ago 24</c:v>
                </c:pt>
                <c:pt idx="21">
                  <c:v>Jul 24</c:v>
                </c:pt>
                <c:pt idx="22">
                  <c:v>Jun 24</c:v>
                </c:pt>
                <c:pt idx="23">
                  <c:v>May 24</c:v>
                </c:pt>
                <c:pt idx="24">
                  <c:v>Abr 24</c:v>
                </c:pt>
                <c:pt idx="25">
                  <c:v>Mar 24</c:v>
                </c:pt>
                <c:pt idx="26">
                  <c:v>Feb 24</c:v>
                </c:pt>
                <c:pt idx="27">
                  <c:v>Ene 24</c:v>
                </c:pt>
                <c:pt idx="28">
                  <c:v>Dic 23</c:v>
                </c:pt>
                <c:pt idx="29">
                  <c:v>Nov 23</c:v>
                </c:pt>
                <c:pt idx="30">
                  <c:v>Oct 23</c:v>
                </c:pt>
                <c:pt idx="31">
                  <c:v>Sep 23</c:v>
                </c:pt>
                <c:pt idx="32">
                  <c:v>Ago 23</c:v>
                </c:pt>
                <c:pt idx="33">
                  <c:v>Jul 23</c:v>
                </c:pt>
                <c:pt idx="34">
                  <c:v>Jun 23</c:v>
                </c:pt>
                <c:pt idx="35">
                  <c:v>May 23</c:v>
                </c:pt>
                <c:pt idx="36">
                  <c:v>Abr 23</c:v>
                </c:pt>
                <c:pt idx="37">
                  <c:v>Mar 23</c:v>
                </c:pt>
                <c:pt idx="38">
                  <c:v>Feb 23</c:v>
                </c:pt>
                <c:pt idx="39">
                  <c:v>Ene 23</c:v>
                </c:pt>
                <c:pt idx="40">
                  <c:v>Dic 22</c:v>
                </c:pt>
                <c:pt idx="41">
                  <c:v>Nov 22</c:v>
                </c:pt>
                <c:pt idx="42">
                  <c:v>Oct 22</c:v>
                </c:pt>
                <c:pt idx="43">
                  <c:v>Sep 22</c:v>
                </c:pt>
                <c:pt idx="44">
                  <c:v>Ago 22</c:v>
                </c:pt>
                <c:pt idx="45">
                  <c:v>Jul 22</c:v>
                </c:pt>
                <c:pt idx="46">
                  <c:v>Jun 22</c:v>
                </c:pt>
                <c:pt idx="47">
                  <c:v>May 22</c:v>
                </c:pt>
                <c:pt idx="48">
                  <c:v>Abr 22</c:v>
                </c:pt>
                <c:pt idx="49">
                  <c:v>Mar 22</c:v>
                </c:pt>
                <c:pt idx="50">
                  <c:v>Feb 22</c:v>
                </c:pt>
                <c:pt idx="51">
                  <c:v>Ene 22</c:v>
                </c:pt>
                <c:pt idx="52">
                  <c:v>dic-19</c:v>
                </c:pt>
                <c:pt idx="53">
                  <c:v>nov-19</c:v>
                </c:pt>
                <c:pt idx="54">
                  <c:v>oct-19</c:v>
                </c:pt>
                <c:pt idx="55">
                  <c:v>sep-19</c:v>
                </c:pt>
                <c:pt idx="56">
                  <c:v>ago-19</c:v>
                </c:pt>
                <c:pt idx="57">
                  <c:v>jul-19</c:v>
                </c:pt>
                <c:pt idx="58">
                  <c:v>jun-19</c:v>
                </c:pt>
                <c:pt idx="59">
                  <c:v>may-19</c:v>
                </c:pt>
                <c:pt idx="60">
                  <c:v>abr-19</c:v>
                </c:pt>
                <c:pt idx="61">
                  <c:v>mar-19</c:v>
                </c:pt>
                <c:pt idx="62">
                  <c:v>feb-19</c:v>
                </c:pt>
                <c:pt idx="63">
                  <c:v>ene-19</c:v>
                </c:pt>
                <c:pt idx="64">
                  <c:v>dic-18</c:v>
                </c:pt>
                <c:pt idx="65">
                  <c:v>nov-18</c:v>
                </c:pt>
                <c:pt idx="66">
                  <c:v>oct-18</c:v>
                </c:pt>
                <c:pt idx="67">
                  <c:v>sep-18</c:v>
                </c:pt>
                <c:pt idx="68">
                  <c:v>ago-18</c:v>
                </c:pt>
                <c:pt idx="69">
                  <c:v>jul-18</c:v>
                </c:pt>
                <c:pt idx="70">
                  <c:v>jun-18</c:v>
                </c:pt>
                <c:pt idx="71">
                  <c:v>may-18</c:v>
                </c:pt>
                <c:pt idx="72">
                  <c:v>abr-18</c:v>
                </c:pt>
                <c:pt idx="73">
                  <c:v>mar-18</c:v>
                </c:pt>
                <c:pt idx="74">
                  <c:v>feb-18</c:v>
                </c:pt>
                <c:pt idx="75">
                  <c:v>ene-18</c:v>
                </c:pt>
                <c:pt idx="76">
                  <c:v>dic-17</c:v>
                </c:pt>
                <c:pt idx="77">
                  <c:v>nov-17</c:v>
                </c:pt>
                <c:pt idx="78">
                  <c:v>oct-17</c:v>
                </c:pt>
                <c:pt idx="79">
                  <c:v>sep-17</c:v>
                </c:pt>
                <c:pt idx="80">
                  <c:v>ago-17</c:v>
                </c:pt>
                <c:pt idx="81">
                  <c:v>jul-17</c:v>
                </c:pt>
                <c:pt idx="82">
                  <c:v>jun-17</c:v>
                </c:pt>
                <c:pt idx="83">
                  <c:v>may-17</c:v>
                </c:pt>
                <c:pt idx="84">
                  <c:v>abr-17</c:v>
                </c:pt>
                <c:pt idx="85">
                  <c:v>mar-17</c:v>
                </c:pt>
                <c:pt idx="86">
                  <c:v>feb-17</c:v>
                </c:pt>
                <c:pt idx="87">
                  <c:v>ene-17</c:v>
                </c:pt>
                <c:pt idx="88">
                  <c:v>dic-16</c:v>
                </c:pt>
                <c:pt idx="89">
                  <c:v>nov-16</c:v>
                </c:pt>
                <c:pt idx="90">
                  <c:v>oct-16</c:v>
                </c:pt>
                <c:pt idx="91">
                  <c:v>sep-16</c:v>
                </c:pt>
                <c:pt idx="92">
                  <c:v>ago-16</c:v>
                </c:pt>
                <c:pt idx="93">
                  <c:v>jul-16</c:v>
                </c:pt>
                <c:pt idx="94">
                  <c:v>jun-16</c:v>
                </c:pt>
                <c:pt idx="95">
                  <c:v>may-16</c:v>
                </c:pt>
                <c:pt idx="96">
                  <c:v>abr-16</c:v>
                </c:pt>
                <c:pt idx="97">
                  <c:v>mar-16</c:v>
                </c:pt>
                <c:pt idx="98">
                  <c:v>feb-16</c:v>
                </c:pt>
                <c:pt idx="99">
                  <c:v>ene-16</c:v>
                </c:pt>
                <c:pt idx="100">
                  <c:v>dic-15</c:v>
                </c:pt>
                <c:pt idx="101">
                  <c:v>nov-15</c:v>
                </c:pt>
                <c:pt idx="102">
                  <c:v>oct-15</c:v>
                </c:pt>
                <c:pt idx="103">
                  <c:v>sep-15</c:v>
                </c:pt>
                <c:pt idx="104">
                  <c:v>ago-15</c:v>
                </c:pt>
                <c:pt idx="105">
                  <c:v>jul-15</c:v>
                </c:pt>
                <c:pt idx="106">
                  <c:v>jun-15</c:v>
                </c:pt>
                <c:pt idx="107">
                  <c:v>may-15</c:v>
                </c:pt>
                <c:pt idx="108">
                  <c:v>abr-15</c:v>
                </c:pt>
                <c:pt idx="109">
                  <c:v>mar-15</c:v>
                </c:pt>
                <c:pt idx="110">
                  <c:v>feb-15</c:v>
                </c:pt>
                <c:pt idx="111">
                  <c:v>ene-15</c:v>
                </c:pt>
                <c:pt idx="112">
                  <c:v>dic-14</c:v>
                </c:pt>
                <c:pt idx="113">
                  <c:v>nov-14</c:v>
                </c:pt>
                <c:pt idx="114">
                  <c:v>oct-14</c:v>
                </c:pt>
                <c:pt idx="115">
                  <c:v>sep-14</c:v>
                </c:pt>
                <c:pt idx="116">
                  <c:v>ago-14</c:v>
                </c:pt>
                <c:pt idx="117">
                  <c:v>jul-14</c:v>
                </c:pt>
                <c:pt idx="118">
                  <c:v>jun-14</c:v>
                </c:pt>
                <c:pt idx="119">
                  <c:v>may-14</c:v>
                </c:pt>
                <c:pt idx="120">
                  <c:v>abr-14</c:v>
                </c:pt>
                <c:pt idx="121">
                  <c:v>mar-14</c:v>
                </c:pt>
                <c:pt idx="122">
                  <c:v>feb-14</c:v>
                </c:pt>
                <c:pt idx="123">
                  <c:v>ene-14</c:v>
                </c:pt>
                <c:pt idx="124">
                  <c:v>dic-13</c:v>
                </c:pt>
                <c:pt idx="125">
                  <c:v>nov-13</c:v>
                </c:pt>
                <c:pt idx="126">
                  <c:v>oct-13</c:v>
                </c:pt>
                <c:pt idx="127">
                  <c:v>sep-13</c:v>
                </c:pt>
                <c:pt idx="128">
                  <c:v>ago-13</c:v>
                </c:pt>
                <c:pt idx="129">
                  <c:v>jul-13</c:v>
                </c:pt>
                <c:pt idx="130">
                  <c:v>jun-13</c:v>
                </c:pt>
                <c:pt idx="131">
                  <c:v>may-13</c:v>
                </c:pt>
                <c:pt idx="132">
                  <c:v>abr-13</c:v>
                </c:pt>
                <c:pt idx="133">
                  <c:v>mar-13</c:v>
                </c:pt>
                <c:pt idx="134">
                  <c:v>feb-13</c:v>
                </c:pt>
                <c:pt idx="135">
                  <c:v>ene-13</c:v>
                </c:pt>
                <c:pt idx="136">
                  <c:v>dic-12</c:v>
                </c:pt>
                <c:pt idx="137">
                  <c:v>nov-12</c:v>
                </c:pt>
                <c:pt idx="138">
                  <c:v>oct-12</c:v>
                </c:pt>
                <c:pt idx="139">
                  <c:v>sep-12</c:v>
                </c:pt>
                <c:pt idx="140">
                  <c:v>ago-12</c:v>
                </c:pt>
                <c:pt idx="141">
                  <c:v>jul-12</c:v>
                </c:pt>
                <c:pt idx="142">
                  <c:v>jun-12</c:v>
                </c:pt>
                <c:pt idx="143">
                  <c:v>may-12</c:v>
                </c:pt>
                <c:pt idx="144">
                  <c:v>abr-12</c:v>
                </c:pt>
                <c:pt idx="145">
                  <c:v>mar-12</c:v>
                </c:pt>
                <c:pt idx="146">
                  <c:v>feb-12</c:v>
                </c:pt>
                <c:pt idx="147">
                  <c:v>ene-12</c:v>
                </c:pt>
                <c:pt idx="148">
                  <c:v>dic-11</c:v>
                </c:pt>
                <c:pt idx="149">
                  <c:v>nov-11</c:v>
                </c:pt>
                <c:pt idx="150">
                  <c:v>oct-11</c:v>
                </c:pt>
                <c:pt idx="151">
                  <c:v>sep-11</c:v>
                </c:pt>
                <c:pt idx="152">
                  <c:v>ago-11</c:v>
                </c:pt>
                <c:pt idx="153">
                  <c:v>jul-11</c:v>
                </c:pt>
                <c:pt idx="154">
                  <c:v>jun-11</c:v>
                </c:pt>
                <c:pt idx="155">
                  <c:v>may-11</c:v>
                </c:pt>
                <c:pt idx="156">
                  <c:v>abr-11</c:v>
                </c:pt>
                <c:pt idx="157">
                  <c:v>mar-11</c:v>
                </c:pt>
                <c:pt idx="158">
                  <c:v>feb-11</c:v>
                </c:pt>
                <c:pt idx="159">
                  <c:v>ene-11</c:v>
                </c:pt>
                <c:pt idx="160">
                  <c:v>dic-10</c:v>
                </c:pt>
                <c:pt idx="161">
                  <c:v>nov-10</c:v>
                </c:pt>
                <c:pt idx="162">
                  <c:v>oct-10</c:v>
                </c:pt>
                <c:pt idx="163">
                  <c:v>sep-10</c:v>
                </c:pt>
                <c:pt idx="164">
                  <c:v>ago-10</c:v>
                </c:pt>
                <c:pt idx="165">
                  <c:v>jul-10</c:v>
                </c:pt>
                <c:pt idx="166">
                  <c:v>jun-10</c:v>
                </c:pt>
                <c:pt idx="167">
                  <c:v>may-10</c:v>
                </c:pt>
                <c:pt idx="168">
                  <c:v>abr-10</c:v>
                </c:pt>
                <c:pt idx="169">
                  <c:v>mar-10</c:v>
                </c:pt>
                <c:pt idx="170">
                  <c:v>feb-10</c:v>
                </c:pt>
                <c:pt idx="171">
                  <c:v>ene-10</c:v>
                </c:pt>
                <c:pt idx="172">
                  <c:v>dic-09</c:v>
                </c:pt>
                <c:pt idx="173">
                  <c:v>nov-09</c:v>
                </c:pt>
                <c:pt idx="174">
                  <c:v>oct-09</c:v>
                </c:pt>
                <c:pt idx="175">
                  <c:v>sep-09</c:v>
                </c:pt>
                <c:pt idx="176">
                  <c:v>ago-09</c:v>
                </c:pt>
                <c:pt idx="177">
                  <c:v>jul-09</c:v>
                </c:pt>
                <c:pt idx="178">
                  <c:v>jun-09</c:v>
                </c:pt>
                <c:pt idx="179">
                  <c:v>may-09</c:v>
                </c:pt>
                <c:pt idx="180">
                  <c:v>abr-09</c:v>
                </c:pt>
                <c:pt idx="181">
                  <c:v>mar-09</c:v>
                </c:pt>
                <c:pt idx="182">
                  <c:v>feb-09</c:v>
                </c:pt>
                <c:pt idx="183">
                  <c:v>ene-09</c:v>
                </c:pt>
                <c:pt idx="184">
                  <c:v>dic-08</c:v>
                </c:pt>
                <c:pt idx="185">
                  <c:v>nov-08</c:v>
                </c:pt>
                <c:pt idx="186">
                  <c:v>oct-08</c:v>
                </c:pt>
                <c:pt idx="187">
                  <c:v>sep-08</c:v>
                </c:pt>
                <c:pt idx="188">
                  <c:v>ago-08</c:v>
                </c:pt>
                <c:pt idx="189">
                  <c:v>jul-08</c:v>
                </c:pt>
                <c:pt idx="190">
                  <c:v>jun-08</c:v>
                </c:pt>
                <c:pt idx="191">
                  <c:v>may-08</c:v>
                </c:pt>
                <c:pt idx="192">
                  <c:v>abr-08</c:v>
                </c:pt>
                <c:pt idx="193">
                  <c:v>mar-08</c:v>
                </c:pt>
                <c:pt idx="194">
                  <c:v>feb-08</c:v>
                </c:pt>
                <c:pt idx="195">
                  <c:v>ene-08</c:v>
                </c:pt>
                <c:pt idx="196">
                  <c:v>dic-07</c:v>
                </c:pt>
                <c:pt idx="197">
                  <c:v>nov-07</c:v>
                </c:pt>
                <c:pt idx="198">
                  <c:v>oct-07</c:v>
                </c:pt>
                <c:pt idx="199">
                  <c:v>sep-07</c:v>
                </c:pt>
                <c:pt idx="200">
                  <c:v>ago-07</c:v>
                </c:pt>
                <c:pt idx="201">
                  <c:v>jul-07</c:v>
                </c:pt>
                <c:pt idx="202">
                  <c:v>jun-07</c:v>
                </c:pt>
                <c:pt idx="203">
                  <c:v>may-07</c:v>
                </c:pt>
                <c:pt idx="204">
                  <c:v>abr-07</c:v>
                </c:pt>
                <c:pt idx="205">
                  <c:v>mar-07</c:v>
                </c:pt>
                <c:pt idx="206">
                  <c:v>feb-07</c:v>
                </c:pt>
                <c:pt idx="207">
                  <c:v>ene-07</c:v>
                </c:pt>
                <c:pt idx="208">
                  <c:v>dic-06</c:v>
                </c:pt>
                <c:pt idx="209">
                  <c:v>nov-06</c:v>
                </c:pt>
                <c:pt idx="210">
                  <c:v>oct-06</c:v>
                </c:pt>
                <c:pt idx="211">
                  <c:v>sep-06</c:v>
                </c:pt>
                <c:pt idx="212">
                  <c:v>ago-06</c:v>
                </c:pt>
                <c:pt idx="213">
                  <c:v>jul-06</c:v>
                </c:pt>
                <c:pt idx="214">
                  <c:v>jun-06</c:v>
                </c:pt>
                <c:pt idx="215">
                  <c:v>may-06</c:v>
                </c:pt>
                <c:pt idx="216">
                  <c:v>abr-06</c:v>
                </c:pt>
                <c:pt idx="217">
                  <c:v>mar-06</c:v>
                </c:pt>
                <c:pt idx="218">
                  <c:v>feb-06</c:v>
                </c:pt>
                <c:pt idx="219">
                  <c:v>ene-06</c:v>
                </c:pt>
                <c:pt idx="220">
                  <c:v>dic-05</c:v>
                </c:pt>
                <c:pt idx="221">
                  <c:v>nov-05</c:v>
                </c:pt>
                <c:pt idx="222">
                  <c:v>oct-05</c:v>
                </c:pt>
                <c:pt idx="223">
                  <c:v>sep-05</c:v>
                </c:pt>
                <c:pt idx="224">
                  <c:v>ago-05</c:v>
                </c:pt>
                <c:pt idx="225">
                  <c:v>jul-05</c:v>
                </c:pt>
                <c:pt idx="226">
                  <c:v>jun-05</c:v>
                </c:pt>
                <c:pt idx="227">
                  <c:v>may-05</c:v>
                </c:pt>
                <c:pt idx="228">
                  <c:v>abr-05</c:v>
                </c:pt>
                <c:pt idx="229">
                  <c:v>mar-05</c:v>
                </c:pt>
                <c:pt idx="230">
                  <c:v>feb-05</c:v>
                </c:pt>
                <c:pt idx="231">
                  <c:v>ene-05</c:v>
                </c:pt>
                <c:pt idx="232">
                  <c:v>dic-04</c:v>
                </c:pt>
                <c:pt idx="233">
                  <c:v>nov-04</c:v>
                </c:pt>
                <c:pt idx="234">
                  <c:v>oct-04</c:v>
                </c:pt>
                <c:pt idx="235">
                  <c:v>sep-04</c:v>
                </c:pt>
                <c:pt idx="236">
                  <c:v>ago-04</c:v>
                </c:pt>
                <c:pt idx="237">
                  <c:v>jul-04</c:v>
                </c:pt>
                <c:pt idx="238">
                  <c:v>jun-04</c:v>
                </c:pt>
                <c:pt idx="239">
                  <c:v>may-04</c:v>
                </c:pt>
                <c:pt idx="240">
                  <c:v>abr-04</c:v>
                </c:pt>
                <c:pt idx="241">
                  <c:v>mar-04</c:v>
                </c:pt>
                <c:pt idx="242">
                  <c:v>feb-04</c:v>
                </c:pt>
                <c:pt idx="243">
                  <c:v>ene-04</c:v>
                </c:pt>
              </c:strCache>
            </c:strRef>
          </c:cat>
          <c:val>
            <c:numRef>
              <c:f>'Análisis tendencia'!$K$5:$K$248</c:f>
              <c:numCache>
                <c:formatCode>General</c:formatCode>
                <c:ptCount val="244"/>
                <c:pt idx="6">
                  <c:v>29446</c:v>
                </c:pt>
                <c:pt idx="7">
                  <c:v>29475.083333333332</c:v>
                </c:pt>
                <c:pt idx="8">
                  <c:v>29459.166666666668</c:v>
                </c:pt>
                <c:pt idx="9">
                  <c:v>29410.291666666668</c:v>
                </c:pt>
                <c:pt idx="10">
                  <c:v>29424.291666666668</c:v>
                </c:pt>
                <c:pt idx="11">
                  <c:v>29516.041666666668</c:v>
                </c:pt>
                <c:pt idx="12">
                  <c:v>29456.125</c:v>
                </c:pt>
                <c:pt idx="13">
                  <c:v>29395.333333333332</c:v>
                </c:pt>
                <c:pt idx="14">
                  <c:v>29361.666666666668</c:v>
                </c:pt>
                <c:pt idx="15">
                  <c:v>29226.125</c:v>
                </c:pt>
                <c:pt idx="16">
                  <c:v>29215.916666666668</c:v>
                </c:pt>
                <c:pt idx="17">
                  <c:v>29185.291666666668</c:v>
                </c:pt>
                <c:pt idx="18">
                  <c:v>28945.791666666668</c:v>
                </c:pt>
                <c:pt idx="19">
                  <c:v>28863.916666666668</c:v>
                </c:pt>
                <c:pt idx="20">
                  <c:v>28870.75</c:v>
                </c:pt>
                <c:pt idx="21">
                  <c:v>28865</c:v>
                </c:pt>
                <c:pt idx="22">
                  <c:v>28788.333333333332</c:v>
                </c:pt>
                <c:pt idx="23">
                  <c:v>28493.625</c:v>
                </c:pt>
                <c:pt idx="24">
                  <c:v>28273.625</c:v>
                </c:pt>
                <c:pt idx="25">
                  <c:v>28165.625</c:v>
                </c:pt>
                <c:pt idx="26">
                  <c:v>28112.125</c:v>
                </c:pt>
                <c:pt idx="27">
                  <c:v>28245.541666666668</c:v>
                </c:pt>
                <c:pt idx="28">
                  <c:v>28225.208333333332</c:v>
                </c:pt>
                <c:pt idx="29">
                  <c:v>27957.583333333332</c:v>
                </c:pt>
                <c:pt idx="30">
                  <c:v>27921.208333333332</c:v>
                </c:pt>
                <c:pt idx="31">
                  <c:v>27989.208333333332</c:v>
                </c:pt>
                <c:pt idx="32">
                  <c:v>28074.708333333332</c:v>
                </c:pt>
                <c:pt idx="33">
                  <c:v>28322.666666666668</c:v>
                </c:pt>
                <c:pt idx="34">
                  <c:v>28566.041666666668</c:v>
                </c:pt>
                <c:pt idx="35">
                  <c:v>28760.708333333332</c:v>
                </c:pt>
                <c:pt idx="36">
                  <c:v>28817.416666666668</c:v>
                </c:pt>
                <c:pt idx="37">
                  <c:v>28772.166666666668</c:v>
                </c:pt>
                <c:pt idx="38">
                  <c:v>28743.125</c:v>
                </c:pt>
                <c:pt idx="39">
                  <c:v>28683.166666666668</c:v>
                </c:pt>
                <c:pt idx="40">
                  <c:v>28692.125</c:v>
                </c:pt>
                <c:pt idx="41">
                  <c:v>28684</c:v>
                </c:pt>
                <c:pt idx="42">
                  <c:v>28359.916666666668</c:v>
                </c:pt>
                <c:pt idx="43">
                  <c:v>27921.958333333332</c:v>
                </c:pt>
                <c:pt idx="44">
                  <c:v>27402.333333333332</c:v>
                </c:pt>
                <c:pt idx="45">
                  <c:v>26513.291666666668</c:v>
                </c:pt>
                <c:pt idx="46">
                  <c:v>25417.916666666668</c:v>
                </c:pt>
                <c:pt idx="47">
                  <c:v>24428.916666666668</c:v>
                </c:pt>
                <c:pt idx="48">
                  <c:v>23368.25</c:v>
                </c:pt>
                <c:pt idx="49">
                  <c:v>22159.333333333332</c:v>
                </c:pt>
                <c:pt idx="50">
                  <c:v>20856.416666666668</c:v>
                </c:pt>
                <c:pt idx="51">
                  <c:v>19519.333333333332</c:v>
                </c:pt>
                <c:pt idx="52">
                  <c:v>18325.708333333332</c:v>
                </c:pt>
                <c:pt idx="53">
                  <c:v>17233.166666666668</c:v>
                </c:pt>
                <c:pt idx="54">
                  <c:v>16248.208333333334</c:v>
                </c:pt>
                <c:pt idx="55">
                  <c:v>15320.875</c:v>
                </c:pt>
                <c:pt idx="56">
                  <c:v>14629.125</c:v>
                </c:pt>
                <c:pt idx="57">
                  <c:v>14319.041666666666</c:v>
                </c:pt>
                <c:pt idx="58">
                  <c:v>14371.666666666666</c:v>
                </c:pt>
                <c:pt idx="59">
                  <c:v>14587.875</c:v>
                </c:pt>
                <c:pt idx="60">
                  <c:v>14829.833333333334</c:v>
                </c:pt>
                <c:pt idx="61">
                  <c:v>15371.541666666666</c:v>
                </c:pt>
                <c:pt idx="62">
                  <c:v>16327.125</c:v>
                </c:pt>
                <c:pt idx="63">
                  <c:v>17357.333333333332</c:v>
                </c:pt>
                <c:pt idx="64">
                  <c:v>18121.416666666668</c:v>
                </c:pt>
                <c:pt idx="65">
                  <c:v>18580.083333333332</c:v>
                </c:pt>
                <c:pt idx="66">
                  <c:v>18979.666666666668</c:v>
                </c:pt>
                <c:pt idx="67">
                  <c:v>19450.666666666668</c:v>
                </c:pt>
                <c:pt idx="68">
                  <c:v>19809.75</c:v>
                </c:pt>
                <c:pt idx="69">
                  <c:v>20041.166666666668</c:v>
                </c:pt>
                <c:pt idx="70">
                  <c:v>20077.666666666668</c:v>
                </c:pt>
                <c:pt idx="71">
                  <c:v>19974.583333333332</c:v>
                </c:pt>
                <c:pt idx="72">
                  <c:v>19891.541666666668</c:v>
                </c:pt>
                <c:pt idx="73">
                  <c:v>19636.125</c:v>
                </c:pt>
                <c:pt idx="74">
                  <c:v>19179.458333333332</c:v>
                </c:pt>
                <c:pt idx="75">
                  <c:v>18683.458333333332</c:v>
                </c:pt>
                <c:pt idx="76">
                  <c:v>18271.5</c:v>
                </c:pt>
                <c:pt idx="77">
                  <c:v>18104.666666666668</c:v>
                </c:pt>
                <c:pt idx="78">
                  <c:v>18131.916666666668</c:v>
                </c:pt>
                <c:pt idx="79">
                  <c:v>18225.791666666668</c:v>
                </c:pt>
                <c:pt idx="80">
                  <c:v>18225.916666666668</c:v>
                </c:pt>
                <c:pt idx="81">
                  <c:v>18152.125</c:v>
                </c:pt>
                <c:pt idx="82">
                  <c:v>18155.541666666668</c:v>
                </c:pt>
                <c:pt idx="83">
                  <c:v>18181.208333333332</c:v>
                </c:pt>
                <c:pt idx="84">
                  <c:v>18134.666666666668</c:v>
                </c:pt>
                <c:pt idx="85">
                  <c:v>17951.958333333332</c:v>
                </c:pt>
                <c:pt idx="86">
                  <c:v>17688.25</c:v>
                </c:pt>
                <c:pt idx="87">
                  <c:v>17456.791666666668</c:v>
                </c:pt>
                <c:pt idx="88">
                  <c:v>17335.791666666668</c:v>
                </c:pt>
                <c:pt idx="89">
                  <c:v>17310.5</c:v>
                </c:pt>
                <c:pt idx="90">
                  <c:v>17123.083333333332</c:v>
                </c:pt>
                <c:pt idx="91">
                  <c:v>17010.791666666668</c:v>
                </c:pt>
                <c:pt idx="92">
                  <c:v>17161.625</c:v>
                </c:pt>
                <c:pt idx="93">
                  <c:v>17247.5</c:v>
                </c:pt>
                <c:pt idx="94">
                  <c:v>17276.958333333332</c:v>
                </c:pt>
                <c:pt idx="95">
                  <c:v>17230.916666666668</c:v>
                </c:pt>
                <c:pt idx="96">
                  <c:v>17173.666666666668</c:v>
                </c:pt>
                <c:pt idx="97">
                  <c:v>17285.333333333332</c:v>
                </c:pt>
                <c:pt idx="98">
                  <c:v>17441.166666666668</c:v>
                </c:pt>
                <c:pt idx="99">
                  <c:v>17550.041666666668</c:v>
                </c:pt>
                <c:pt idx="100">
                  <c:v>17558.583333333332</c:v>
                </c:pt>
                <c:pt idx="101">
                  <c:v>17444.833333333332</c:v>
                </c:pt>
                <c:pt idx="102">
                  <c:v>17479.625</c:v>
                </c:pt>
                <c:pt idx="103">
                  <c:v>17483.458333333332</c:v>
                </c:pt>
                <c:pt idx="104">
                  <c:v>17444.875</c:v>
                </c:pt>
                <c:pt idx="105">
                  <c:v>17485.541666666668</c:v>
                </c:pt>
                <c:pt idx="106">
                  <c:v>17461.875</c:v>
                </c:pt>
                <c:pt idx="107">
                  <c:v>17603.666666666668</c:v>
                </c:pt>
                <c:pt idx="108">
                  <c:v>17766.958333333332</c:v>
                </c:pt>
                <c:pt idx="109">
                  <c:v>17717.25</c:v>
                </c:pt>
                <c:pt idx="110">
                  <c:v>17580.916666666668</c:v>
                </c:pt>
                <c:pt idx="111">
                  <c:v>17541.458333333332</c:v>
                </c:pt>
                <c:pt idx="112">
                  <c:v>17499.375</c:v>
                </c:pt>
                <c:pt idx="113">
                  <c:v>17429.416666666668</c:v>
                </c:pt>
                <c:pt idx="114">
                  <c:v>17376.625</c:v>
                </c:pt>
                <c:pt idx="115">
                  <c:v>17321.541666666668</c:v>
                </c:pt>
                <c:pt idx="116">
                  <c:v>17281.208333333332</c:v>
                </c:pt>
                <c:pt idx="117">
                  <c:v>17218.125</c:v>
                </c:pt>
                <c:pt idx="118">
                  <c:v>17191.416666666668</c:v>
                </c:pt>
                <c:pt idx="119">
                  <c:v>17210.375</c:v>
                </c:pt>
                <c:pt idx="120">
                  <c:v>17211.083333333332</c:v>
                </c:pt>
                <c:pt idx="121">
                  <c:v>17202.416666666668</c:v>
                </c:pt>
                <c:pt idx="122">
                  <c:v>17304.625</c:v>
                </c:pt>
                <c:pt idx="123">
                  <c:v>17364.083333333332</c:v>
                </c:pt>
                <c:pt idx="124">
                  <c:v>17443.25</c:v>
                </c:pt>
                <c:pt idx="125">
                  <c:v>17646.583333333332</c:v>
                </c:pt>
                <c:pt idx="126">
                  <c:v>17862.916666666668</c:v>
                </c:pt>
                <c:pt idx="127">
                  <c:v>18173.25</c:v>
                </c:pt>
                <c:pt idx="128">
                  <c:v>18497.708333333332</c:v>
                </c:pt>
                <c:pt idx="129">
                  <c:v>18838.208333333332</c:v>
                </c:pt>
                <c:pt idx="130">
                  <c:v>19177.416666666668</c:v>
                </c:pt>
                <c:pt idx="131">
                  <c:v>19432</c:v>
                </c:pt>
                <c:pt idx="132">
                  <c:v>19964.25</c:v>
                </c:pt>
                <c:pt idx="133">
                  <c:v>20521.166666666668</c:v>
                </c:pt>
                <c:pt idx="134">
                  <c:v>20841.25</c:v>
                </c:pt>
                <c:pt idx="135">
                  <c:v>21173.625</c:v>
                </c:pt>
                <c:pt idx="136">
                  <c:v>21462.916666666668</c:v>
                </c:pt>
                <c:pt idx="137">
                  <c:v>21660.25</c:v>
                </c:pt>
                <c:pt idx="138">
                  <c:v>21875.5</c:v>
                </c:pt>
                <c:pt idx="139">
                  <c:v>22166.291666666668</c:v>
                </c:pt>
                <c:pt idx="140">
                  <c:v>22506.416666666668</c:v>
                </c:pt>
                <c:pt idx="141">
                  <c:v>22858.041666666668</c:v>
                </c:pt>
                <c:pt idx="142">
                  <c:v>23246.958333333332</c:v>
                </c:pt>
                <c:pt idx="143">
                  <c:v>23720.708333333332</c:v>
                </c:pt>
                <c:pt idx="144">
                  <c:v>24169.375</c:v>
                </c:pt>
                <c:pt idx="145">
                  <c:v>24813.083333333332</c:v>
                </c:pt>
                <c:pt idx="146">
                  <c:v>25798.541666666668</c:v>
                </c:pt>
                <c:pt idx="147">
                  <c:v>26854.458333333332</c:v>
                </c:pt>
                <c:pt idx="148">
                  <c:v>27752.666666666668</c:v>
                </c:pt>
                <c:pt idx="149">
                  <c:v>28703.25</c:v>
                </c:pt>
                <c:pt idx="150">
                  <c:v>29749.625</c:v>
                </c:pt>
                <c:pt idx="151">
                  <c:v>30544.916666666668</c:v>
                </c:pt>
                <c:pt idx="152">
                  <c:v>31026.458333333332</c:v>
                </c:pt>
                <c:pt idx="153">
                  <c:v>31229.208333333332</c:v>
                </c:pt>
                <c:pt idx="154">
                  <c:v>31232.583333333332</c:v>
                </c:pt>
                <c:pt idx="155">
                  <c:v>31336.75</c:v>
                </c:pt>
                <c:pt idx="156">
                  <c:v>31305.958333333332</c:v>
                </c:pt>
                <c:pt idx="157">
                  <c:v>30978.458333333332</c:v>
                </c:pt>
                <c:pt idx="158">
                  <c:v>30746.166666666668</c:v>
                </c:pt>
                <c:pt idx="159">
                  <c:v>30556.375</c:v>
                </c:pt>
                <c:pt idx="160">
                  <c:v>30093.333333333332</c:v>
                </c:pt>
                <c:pt idx="161">
                  <c:v>29268.875</c:v>
                </c:pt>
                <c:pt idx="162">
                  <c:v>28151.125</c:v>
                </c:pt>
                <c:pt idx="163">
                  <c:v>27046.583333333332</c:v>
                </c:pt>
                <c:pt idx="164">
                  <c:v>26166.166666666668</c:v>
                </c:pt>
                <c:pt idx="165">
                  <c:v>25485.333333333332</c:v>
                </c:pt>
                <c:pt idx="166">
                  <c:v>24965.875</c:v>
                </c:pt>
                <c:pt idx="167">
                  <c:v>24349.625</c:v>
                </c:pt>
                <c:pt idx="168">
                  <c:v>23670.75</c:v>
                </c:pt>
                <c:pt idx="169">
                  <c:v>23188.416666666668</c:v>
                </c:pt>
                <c:pt idx="170">
                  <c:v>22659.208333333332</c:v>
                </c:pt>
                <c:pt idx="171">
                  <c:v>22082.125</c:v>
                </c:pt>
                <c:pt idx="172">
                  <c:v>21800.458333333332</c:v>
                </c:pt>
                <c:pt idx="173">
                  <c:v>21693.916666666668</c:v>
                </c:pt>
                <c:pt idx="174">
                  <c:v>21752.083333333332</c:v>
                </c:pt>
                <c:pt idx="175">
                  <c:v>21867.75</c:v>
                </c:pt>
                <c:pt idx="176">
                  <c:v>21972.666666666668</c:v>
                </c:pt>
                <c:pt idx="177">
                  <c:v>22079.541666666668</c:v>
                </c:pt>
                <c:pt idx="178">
                  <c:v>22121.5</c:v>
                </c:pt>
                <c:pt idx="179">
                  <c:v>22184.833333333332</c:v>
                </c:pt>
                <c:pt idx="180">
                  <c:v>22310.25</c:v>
                </c:pt>
                <c:pt idx="181">
                  <c:v>22559.458333333332</c:v>
                </c:pt>
                <c:pt idx="182">
                  <c:v>22950.375</c:v>
                </c:pt>
                <c:pt idx="183">
                  <c:v>23425.708333333332</c:v>
                </c:pt>
                <c:pt idx="184">
                  <c:v>23884.041666666668</c:v>
                </c:pt>
                <c:pt idx="185">
                  <c:v>24273.666666666668</c:v>
                </c:pt>
                <c:pt idx="186">
                  <c:v>24436.25</c:v>
                </c:pt>
                <c:pt idx="187">
                  <c:v>24670.583333333332</c:v>
                </c:pt>
                <c:pt idx="188">
                  <c:v>24842.291666666668</c:v>
                </c:pt>
                <c:pt idx="189">
                  <c:v>24825.625</c:v>
                </c:pt>
                <c:pt idx="190">
                  <c:v>24873.458333333332</c:v>
                </c:pt>
                <c:pt idx="191">
                  <c:v>24804.75</c:v>
                </c:pt>
                <c:pt idx="192">
                  <c:v>24706.833333333332</c:v>
                </c:pt>
                <c:pt idx="193">
                  <c:v>24532.583333333332</c:v>
                </c:pt>
                <c:pt idx="194">
                  <c:v>24147.708333333332</c:v>
                </c:pt>
                <c:pt idx="195">
                  <c:v>23592.041666666668</c:v>
                </c:pt>
                <c:pt idx="196">
                  <c:v>23024</c:v>
                </c:pt>
                <c:pt idx="197">
                  <c:v>22506.125</c:v>
                </c:pt>
                <c:pt idx="198">
                  <c:v>22318.791666666668</c:v>
                </c:pt>
                <c:pt idx="199">
                  <c:v>21878.208333333332</c:v>
                </c:pt>
                <c:pt idx="200">
                  <c:v>21471.041666666668</c:v>
                </c:pt>
                <c:pt idx="201">
                  <c:v>21422.666666666668</c:v>
                </c:pt>
                <c:pt idx="202">
                  <c:v>21159.791666666668</c:v>
                </c:pt>
                <c:pt idx="203">
                  <c:v>20918.458333333332</c:v>
                </c:pt>
                <c:pt idx="204">
                  <c:v>20647.166666666668</c:v>
                </c:pt>
                <c:pt idx="205">
                  <c:v>20368.875</c:v>
                </c:pt>
                <c:pt idx="206">
                  <c:v>20070.041666666668</c:v>
                </c:pt>
                <c:pt idx="207">
                  <c:v>19764.166666666668</c:v>
                </c:pt>
                <c:pt idx="208">
                  <c:v>19384.125</c:v>
                </c:pt>
                <c:pt idx="209">
                  <c:v>19117.833333333332</c:v>
                </c:pt>
                <c:pt idx="210">
                  <c:v>18812.291666666668</c:v>
                </c:pt>
                <c:pt idx="211">
                  <c:v>18568.625</c:v>
                </c:pt>
                <c:pt idx="212">
                  <c:v>18296.916666666668</c:v>
                </c:pt>
                <c:pt idx="213">
                  <c:v>17913.833333333332</c:v>
                </c:pt>
                <c:pt idx="214">
                  <c:v>17847.916666666668</c:v>
                </c:pt>
                <c:pt idx="215">
                  <c:v>17937.791666666668</c:v>
                </c:pt>
                <c:pt idx="216">
                  <c:v>17995.25</c:v>
                </c:pt>
                <c:pt idx="217">
                  <c:v>18086.833333333332</c:v>
                </c:pt>
                <c:pt idx="218">
                  <c:v>18415.875</c:v>
                </c:pt>
                <c:pt idx="219">
                  <c:v>18714.25</c:v>
                </c:pt>
                <c:pt idx="220">
                  <c:v>18757.25</c:v>
                </c:pt>
                <c:pt idx="221">
                  <c:v>18593.5</c:v>
                </c:pt>
                <c:pt idx="222">
                  <c:v>18261.25</c:v>
                </c:pt>
                <c:pt idx="223">
                  <c:v>18179.666666666668</c:v>
                </c:pt>
                <c:pt idx="224">
                  <c:v>18128.125</c:v>
                </c:pt>
                <c:pt idx="225">
                  <c:v>17791.166666666668</c:v>
                </c:pt>
                <c:pt idx="226">
                  <c:v>17382.583333333332</c:v>
                </c:pt>
                <c:pt idx="227">
                  <c:v>16714.875</c:v>
                </c:pt>
                <c:pt idx="228">
                  <c:v>15933.541666666666</c:v>
                </c:pt>
                <c:pt idx="229">
                  <c:v>15023.458333333334</c:v>
                </c:pt>
                <c:pt idx="230">
                  <c:v>13656.375</c:v>
                </c:pt>
                <c:pt idx="231">
                  <c:v>12110.791666666666</c:v>
                </c:pt>
                <c:pt idx="232">
                  <c:v>11106.208333333334</c:v>
                </c:pt>
                <c:pt idx="233">
                  <c:v>10498.041666666666</c:v>
                </c:pt>
                <c:pt idx="234">
                  <c:v>10063.75</c:v>
                </c:pt>
                <c:pt idx="235">
                  <c:v>9516.5416666666661</c:v>
                </c:pt>
                <c:pt idx="236">
                  <c:v>8989.5</c:v>
                </c:pt>
                <c:pt idx="237">
                  <c:v>8851.5833333333339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8-4CB2-9EA2-262F2E798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6090848"/>
        <c:axId val="683868656"/>
      </c:barChart>
      <c:catAx>
        <c:axId val="14060908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83868656"/>
        <c:crosses val="autoZero"/>
        <c:auto val="1"/>
        <c:lblAlgn val="ctr"/>
        <c:lblOffset val="100"/>
        <c:noMultiLvlLbl val="0"/>
      </c:catAx>
      <c:valAx>
        <c:axId val="68386865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609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PIB!$J$1</c:f>
              <c:strCache>
                <c:ptCount val="1"/>
                <c:pt idx="0">
                  <c:v>PIB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PIB!$J$2:$J$79</c:f>
              <c:numCache>
                <c:formatCode>0.0</c:formatCode>
                <c:ptCount val="78"/>
                <c:pt idx="0">
                  <c:v>4.8532170593991824</c:v>
                </c:pt>
                <c:pt idx="1">
                  <c:v>4.8133747035374199</c:v>
                </c:pt>
                <c:pt idx="2">
                  <c:v>4.8221733234892996</c:v>
                </c:pt>
                <c:pt idx="3">
                  <c:v>4.7761130840207251</c:v>
                </c:pt>
                <c:pt idx="4">
                  <c:v>4.8252482434736201</c:v>
                </c:pt>
                <c:pt idx="5">
                  <c:v>4.7886186076312978</c:v>
                </c:pt>
                <c:pt idx="6">
                  <c:v>4.7975600534739993</c:v>
                </c:pt>
                <c:pt idx="7">
                  <c:v>4.7511994044175934</c:v>
                </c:pt>
                <c:pt idx="8">
                  <c:v>4.7888766167346244</c:v>
                </c:pt>
                <c:pt idx="9">
                  <c:v>4.7515501806648253</c:v>
                </c:pt>
                <c:pt idx="10">
                  <c:v>4.7570643217337238</c:v>
                </c:pt>
                <c:pt idx="11">
                  <c:v>4.7211320086869142</c:v>
                </c:pt>
                <c:pt idx="12">
                  <c:v>4.7685136254840588</c:v>
                </c:pt>
                <c:pt idx="13">
                  <c:v>4.7364826185406503</c:v>
                </c:pt>
                <c:pt idx="14">
                  <c:v>4.7389875377224104</c:v>
                </c:pt>
                <c:pt idx="15">
                  <c:v>4.6804826467398044</c:v>
                </c:pt>
                <c:pt idx="16">
                  <c:v>4.7483818234908979</c:v>
                </c:pt>
                <c:pt idx="17">
                  <c:v>4.714854739504994</c:v>
                </c:pt>
                <c:pt idx="18">
                  <c:v>4.7345892596075938</c:v>
                </c:pt>
                <c:pt idx="19">
                  <c:v>4.6851747390875973</c:v>
                </c:pt>
                <c:pt idx="20">
                  <c:v>4.7338184254029265</c:v>
                </c:pt>
                <c:pt idx="21">
                  <c:v>4.6970417331933012</c:v>
                </c:pt>
                <c:pt idx="22">
                  <c:v>4.7163814525740362</c:v>
                </c:pt>
                <c:pt idx="23">
                  <c:v>4.6575956392418609</c:v>
                </c:pt>
                <c:pt idx="24">
                  <c:v>4.7087506182371195</c:v>
                </c:pt>
                <c:pt idx="25">
                  <c:v>4.6773894470780242</c:v>
                </c:pt>
                <c:pt idx="26">
                  <c:v>4.6917019479808344</c:v>
                </c:pt>
                <c:pt idx="27">
                  <c:v>4.6323066392341117</c:v>
                </c:pt>
                <c:pt idx="28">
                  <c:v>4.6778293949052632</c:v>
                </c:pt>
                <c:pt idx="29">
                  <c:v>4.6485485901070938</c:v>
                </c:pt>
                <c:pt idx="30">
                  <c:v>4.6604184989685571</c:v>
                </c:pt>
                <c:pt idx="31">
                  <c:v>4.6095007953485378</c:v>
                </c:pt>
                <c:pt idx="32">
                  <c:v>4.6573479391266615</c:v>
                </c:pt>
                <c:pt idx="33">
                  <c:v>4.6203503815831208</c:v>
                </c:pt>
                <c:pt idx="34">
                  <c:v>4.6290946987872816</c:v>
                </c:pt>
                <c:pt idx="35">
                  <c:v>4.5740323978041051</c:v>
                </c:pt>
                <c:pt idx="36">
                  <c:v>4.6165333796664951</c:v>
                </c:pt>
                <c:pt idx="37">
                  <c:v>4.5776972368416748</c:v>
                </c:pt>
                <c:pt idx="38">
                  <c:v>4.5880372518876475</c:v>
                </c:pt>
                <c:pt idx="39">
                  <c:v>4.5396082079638145</c:v>
                </c:pt>
                <c:pt idx="40">
                  <c:v>4.5917728410020118</c:v>
                </c:pt>
                <c:pt idx="41">
                  <c:v>4.5595041865299306</c:v>
                </c:pt>
                <c:pt idx="42">
                  <c:v>4.5790438461017526</c:v>
                </c:pt>
                <c:pt idx="43">
                  <c:v>4.5316840204725457</c:v>
                </c:pt>
                <c:pt idx="44">
                  <c:v>4.5971138204497715</c:v>
                </c:pt>
                <c:pt idx="45">
                  <c:v>4.5690568798409297</c:v>
                </c:pt>
                <c:pt idx="46">
                  <c:v>4.5921345905972153</c:v>
                </c:pt>
                <c:pt idx="47">
                  <c:v>4.5617834469873539</c:v>
                </c:pt>
                <c:pt idx="48">
                  <c:v>4.631391385791086</c:v>
                </c:pt>
                <c:pt idx="49">
                  <c:v>4.5976973336490392</c:v>
                </c:pt>
                <c:pt idx="50">
                  <c:v>4.6242372487053167</c:v>
                </c:pt>
                <c:pt idx="51">
                  <c:v>4.5827118754847938</c:v>
                </c:pt>
                <c:pt idx="52">
                  <c:v>4.6510112439106255</c:v>
                </c:pt>
                <c:pt idx="53">
                  <c:v>4.6022228468481075</c:v>
                </c:pt>
                <c:pt idx="54">
                  <c:v>4.6280846332132146</c:v>
                </c:pt>
                <c:pt idx="55">
                  <c:v>4.579735448090843</c:v>
                </c:pt>
                <c:pt idx="56">
                  <c:v>4.6510723744434355</c:v>
                </c:pt>
                <c:pt idx="57">
                  <c:v>4.6008076840990837</c:v>
                </c:pt>
                <c:pt idx="58">
                  <c:v>4.6258498795295928</c:v>
                </c:pt>
                <c:pt idx="59">
                  <c:v>4.5795600275812731</c:v>
                </c:pt>
                <c:pt idx="60">
                  <c:v>4.6751131393376362</c:v>
                </c:pt>
                <c:pt idx="61">
                  <c:v>4.6367424937467723</c:v>
                </c:pt>
                <c:pt idx="62">
                  <c:v>4.6723633055593918</c:v>
                </c:pt>
                <c:pt idx="63">
                  <c:v>4.6272535437734028</c:v>
                </c:pt>
                <c:pt idx="64">
                  <c:v>4.6923116378509508</c:v>
                </c:pt>
                <c:pt idx="65">
                  <c:v>4.6277249051559242</c:v>
                </c:pt>
                <c:pt idx="66">
                  <c:v>4.654138429538544</c:v>
                </c:pt>
                <c:pt idx="67">
                  <c:v>4.6055241233448747</c:v>
                </c:pt>
                <c:pt idx="68">
                  <c:v>4.6570489089788722</c:v>
                </c:pt>
                <c:pt idx="69">
                  <c:v>4.5933182281879619</c:v>
                </c:pt>
                <c:pt idx="70">
                  <c:v>4.619399467870684</c:v>
                </c:pt>
                <c:pt idx="71">
                  <c:v>4.5710744775341681</c:v>
                </c:pt>
                <c:pt idx="72">
                  <c:v>4.6176460378978099</c:v>
                </c:pt>
                <c:pt idx="73">
                  <c:v>4.5567905375455471</c:v>
                </c:pt>
                <c:pt idx="74">
                  <c:v>4.5825165183360186</c:v>
                </c:pt>
                <c:pt idx="75">
                  <c:v>4.5250788104636275</c:v>
                </c:pt>
                <c:pt idx="76">
                  <c:v>4.5817357315846676</c:v>
                </c:pt>
                <c:pt idx="77">
                  <c:v>4.5216657434183425</c:v>
                </c:pt>
              </c:numCache>
            </c:numRef>
          </c:xVal>
          <c:yVal>
            <c:numRef>
              <c:f>PIB!$G$2:$G$79</c:f>
              <c:numCache>
                <c:formatCode>0.0</c:formatCode>
                <c:ptCount val="78"/>
                <c:pt idx="0">
                  <c:v>10.986417795970407</c:v>
                </c:pt>
                <c:pt idx="1">
                  <c:v>12.086017655939894</c:v>
                </c:pt>
                <c:pt idx="2">
                  <c:v>12.086524693950542</c:v>
                </c:pt>
                <c:pt idx="3">
                  <c:v>12.081107080278629</c:v>
                </c:pt>
                <c:pt idx="4">
                  <c:v>12.07345012547011</c:v>
                </c:pt>
                <c:pt idx="5">
                  <c:v>12.063395990754834</c:v>
                </c:pt>
                <c:pt idx="6">
                  <c:v>12.052570540055315</c:v>
                </c:pt>
                <c:pt idx="7">
                  <c:v>12.042355203986034</c:v>
                </c:pt>
                <c:pt idx="8">
                  <c:v>12.037707986530423</c:v>
                </c:pt>
                <c:pt idx="9">
                  <c:v>12.041679902716734</c:v>
                </c:pt>
                <c:pt idx="10">
                  <c:v>12.060037935000175</c:v>
                </c:pt>
                <c:pt idx="11">
                  <c:v>12.061255666709995</c:v>
                </c:pt>
                <c:pt idx="12">
                  <c:v>12.057578921028027</c:v>
                </c:pt>
                <c:pt idx="13">
                  <c:v>12.011561850900263</c:v>
                </c:pt>
                <c:pt idx="14">
                  <c:v>11.902760727606008</c:v>
                </c:pt>
                <c:pt idx="15">
                  <c:v>11.74985883156131</c:v>
                </c:pt>
                <c:pt idx="16">
                  <c:v>11.558478251626312</c:v>
                </c:pt>
                <c:pt idx="17">
                  <c:v>11.400842403551575</c:v>
                </c:pt>
                <c:pt idx="18">
                  <c:v>11.387228540691426</c:v>
                </c:pt>
                <c:pt idx="19">
                  <c:v>11.496806245590331</c:v>
                </c:pt>
                <c:pt idx="20">
                  <c:v>11.625002995886089</c:v>
                </c:pt>
                <c:pt idx="21">
                  <c:v>11.689713336352044</c:v>
                </c:pt>
                <c:pt idx="22">
                  <c:v>11.702512232755595</c:v>
                </c:pt>
                <c:pt idx="23">
                  <c:v>11.660377688720757</c:v>
                </c:pt>
                <c:pt idx="24">
                  <c:v>11.605218977995172</c:v>
                </c:pt>
                <c:pt idx="25">
                  <c:v>11.605753779614755</c:v>
                </c:pt>
                <c:pt idx="26">
                  <c:v>11.604484299085779</c:v>
                </c:pt>
                <c:pt idx="27">
                  <c:v>11.582702195825805</c:v>
                </c:pt>
                <c:pt idx="28">
                  <c:v>11.557486460705338</c:v>
                </c:pt>
                <c:pt idx="29">
                  <c:v>11.55185286588091</c:v>
                </c:pt>
                <c:pt idx="30">
                  <c:v>11.556916034251262</c:v>
                </c:pt>
                <c:pt idx="31">
                  <c:v>11.567841667858865</c:v>
                </c:pt>
                <c:pt idx="32">
                  <c:v>11.57224767038306</c:v>
                </c:pt>
                <c:pt idx="33">
                  <c:v>11.571039880028689</c:v>
                </c:pt>
                <c:pt idx="34">
                  <c:v>11.580484030554297</c:v>
                </c:pt>
                <c:pt idx="35">
                  <c:v>11.580018922601138</c:v>
                </c:pt>
                <c:pt idx="36">
                  <c:v>11.569399524322684</c:v>
                </c:pt>
                <c:pt idx="37">
                  <c:v>11.558476659176435</c:v>
                </c:pt>
                <c:pt idx="38">
                  <c:v>11.552379324019816</c:v>
                </c:pt>
                <c:pt idx="39">
                  <c:v>11.556015685120681</c:v>
                </c:pt>
                <c:pt idx="40">
                  <c:v>11.574622452773143</c:v>
                </c:pt>
                <c:pt idx="41">
                  <c:v>11.620004752692726</c:v>
                </c:pt>
                <c:pt idx="42">
                  <c:v>11.673038335561705</c:v>
                </c:pt>
                <c:pt idx="43">
                  <c:v>11.735222658224478</c:v>
                </c:pt>
                <c:pt idx="44">
                  <c:v>11.772808769785476</c:v>
                </c:pt>
                <c:pt idx="45">
                  <c:v>11.810625935265499</c:v>
                </c:pt>
                <c:pt idx="46">
                  <c:v>11.861567397157581</c:v>
                </c:pt>
                <c:pt idx="47">
                  <c:v>11.947812904303769</c:v>
                </c:pt>
                <c:pt idx="48">
                  <c:v>12.055727597037635</c:v>
                </c:pt>
                <c:pt idx="49">
                  <c:v>12.131071806941106</c:v>
                </c:pt>
                <c:pt idx="50">
                  <c:v>12.143582247777477</c:v>
                </c:pt>
                <c:pt idx="51">
                  <c:v>12.126838222217915</c:v>
                </c:pt>
                <c:pt idx="52">
                  <c:v>12.074948115990239</c:v>
                </c:pt>
                <c:pt idx="53">
                  <c:v>11.967923054254962</c:v>
                </c:pt>
                <c:pt idx="54">
                  <c:v>11.891455788976895</c:v>
                </c:pt>
                <c:pt idx="55">
                  <c:v>11.819709858286362</c:v>
                </c:pt>
                <c:pt idx="56">
                  <c:v>11.778213016569866</c:v>
                </c:pt>
                <c:pt idx="57">
                  <c:v>11.787555858607046</c:v>
                </c:pt>
                <c:pt idx="58">
                  <c:v>11.798436745457124</c:v>
                </c:pt>
                <c:pt idx="59">
                  <c:v>11.833598549682467</c:v>
                </c:pt>
                <c:pt idx="60">
                  <c:v>11.883502327884171</c:v>
                </c:pt>
                <c:pt idx="61">
                  <c:v>11.907623931356371</c:v>
                </c:pt>
                <c:pt idx="62">
                  <c:v>11.907021466794731</c:v>
                </c:pt>
                <c:pt idx="63">
                  <c:v>11.875920519866263</c:v>
                </c:pt>
                <c:pt idx="64">
                  <c:v>11.817007630206403</c:v>
                </c:pt>
                <c:pt idx="65">
                  <c:v>11.770557717776148</c:v>
                </c:pt>
                <c:pt idx="66">
                  <c:v>11.738048056691481</c:v>
                </c:pt>
                <c:pt idx="67">
                  <c:v>11.699688532524963</c:v>
                </c:pt>
                <c:pt idx="68">
                  <c:v>11.650496966602477</c:v>
                </c:pt>
                <c:pt idx="69">
                  <c:v>11.606290952054517</c:v>
                </c:pt>
                <c:pt idx="70">
                  <c:v>11.591756669839745</c:v>
                </c:pt>
                <c:pt idx="71">
                  <c:v>11.619044068207041</c:v>
                </c:pt>
                <c:pt idx="72">
                  <c:v>11.626256382417598</c:v>
                </c:pt>
                <c:pt idx="73">
                  <c:v>11.59966875047099</c:v>
                </c:pt>
                <c:pt idx="74">
                  <c:v>11.518912920993785</c:v>
                </c:pt>
                <c:pt idx="75">
                  <c:v>11.311872566848315</c:v>
                </c:pt>
                <c:pt idx="76">
                  <c:v>11.053704823123294</c:v>
                </c:pt>
                <c:pt idx="77">
                  <c:v>10.903953211922259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0-468F-976E-AABD3D922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10848"/>
        <c:axId val="245659648"/>
      </c:scatterChart>
      <c:valAx>
        <c:axId val="48651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5659648"/>
        <c:crosses val="autoZero"/>
        <c:crossBetween val="midCat"/>
      </c:valAx>
      <c:valAx>
        <c:axId val="24565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651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PIB!$J$5:$J$79</c:f>
              <c:numCache>
                <c:formatCode>0.0</c:formatCode>
                <c:ptCount val="75"/>
                <c:pt idx="0">
                  <c:v>4.7761130840207251</c:v>
                </c:pt>
                <c:pt idx="1">
                  <c:v>4.8252482434736201</c:v>
                </c:pt>
                <c:pt idx="2">
                  <c:v>4.7886186076312978</c:v>
                </c:pt>
                <c:pt idx="3">
                  <c:v>4.7975600534739993</c:v>
                </c:pt>
                <c:pt idx="4">
                  <c:v>4.7511994044175934</c:v>
                </c:pt>
                <c:pt idx="5">
                  <c:v>4.7888766167346244</c:v>
                </c:pt>
                <c:pt idx="6">
                  <c:v>4.7515501806648253</c:v>
                </c:pt>
                <c:pt idx="7">
                  <c:v>4.7570643217337238</c:v>
                </c:pt>
                <c:pt idx="8">
                  <c:v>4.7211320086869142</c:v>
                </c:pt>
                <c:pt idx="9">
                  <c:v>4.7685136254840588</c:v>
                </c:pt>
                <c:pt idx="10">
                  <c:v>4.7364826185406503</c:v>
                </c:pt>
                <c:pt idx="11">
                  <c:v>4.7389875377224104</c:v>
                </c:pt>
                <c:pt idx="12">
                  <c:v>4.6804826467398044</c:v>
                </c:pt>
                <c:pt idx="13">
                  <c:v>4.7483818234908979</c:v>
                </c:pt>
                <c:pt idx="14">
                  <c:v>4.714854739504994</c:v>
                </c:pt>
                <c:pt idx="15">
                  <c:v>4.7345892596075938</c:v>
                </c:pt>
                <c:pt idx="16">
                  <c:v>4.6851747390875973</c:v>
                </c:pt>
                <c:pt idx="17">
                  <c:v>4.7338184254029265</c:v>
                </c:pt>
                <c:pt idx="18">
                  <c:v>4.6970417331933012</c:v>
                </c:pt>
                <c:pt idx="19">
                  <c:v>4.7163814525740362</c:v>
                </c:pt>
                <c:pt idx="20">
                  <c:v>4.6575956392418609</c:v>
                </c:pt>
                <c:pt idx="21">
                  <c:v>4.7087506182371195</c:v>
                </c:pt>
                <c:pt idx="22">
                  <c:v>4.6773894470780242</c:v>
                </c:pt>
                <c:pt idx="23">
                  <c:v>4.6917019479808344</c:v>
                </c:pt>
                <c:pt idx="24">
                  <c:v>4.6323066392341117</c:v>
                </c:pt>
                <c:pt idx="25">
                  <c:v>4.6778293949052632</c:v>
                </c:pt>
                <c:pt idx="26">
                  <c:v>4.6485485901070938</c:v>
                </c:pt>
                <c:pt idx="27">
                  <c:v>4.6604184989685571</c:v>
                </c:pt>
                <c:pt idx="28">
                  <c:v>4.6095007953485378</c:v>
                </c:pt>
                <c:pt idx="29">
                  <c:v>4.6573479391266615</c:v>
                </c:pt>
                <c:pt idx="30">
                  <c:v>4.6203503815831208</c:v>
                </c:pt>
                <c:pt idx="31">
                  <c:v>4.6290946987872816</c:v>
                </c:pt>
                <c:pt idx="32">
                  <c:v>4.5740323978041051</c:v>
                </c:pt>
                <c:pt idx="33">
                  <c:v>4.6165333796664951</c:v>
                </c:pt>
                <c:pt idx="34">
                  <c:v>4.5776972368416748</c:v>
                </c:pt>
                <c:pt idx="35">
                  <c:v>4.5880372518876475</c:v>
                </c:pt>
                <c:pt idx="36">
                  <c:v>4.5396082079638145</c:v>
                </c:pt>
                <c:pt idx="37">
                  <c:v>4.5917728410020118</c:v>
                </c:pt>
                <c:pt idx="38">
                  <c:v>4.5595041865299306</c:v>
                </c:pt>
                <c:pt idx="39">
                  <c:v>4.5790438461017526</c:v>
                </c:pt>
                <c:pt idx="40">
                  <c:v>4.5316840204725457</c:v>
                </c:pt>
                <c:pt idx="41">
                  <c:v>4.5971138204497715</c:v>
                </c:pt>
                <c:pt idx="42">
                  <c:v>4.5690568798409297</c:v>
                </c:pt>
                <c:pt idx="43">
                  <c:v>4.5921345905972153</c:v>
                </c:pt>
                <c:pt idx="44">
                  <c:v>4.5617834469873539</c:v>
                </c:pt>
                <c:pt idx="45">
                  <c:v>4.631391385791086</c:v>
                </c:pt>
                <c:pt idx="46">
                  <c:v>4.5976973336490392</c:v>
                </c:pt>
                <c:pt idx="47">
                  <c:v>4.6242372487053167</c:v>
                </c:pt>
                <c:pt idx="48">
                  <c:v>4.5827118754847938</c:v>
                </c:pt>
                <c:pt idx="49">
                  <c:v>4.6510112439106255</c:v>
                </c:pt>
                <c:pt idx="50">
                  <c:v>4.6022228468481075</c:v>
                </c:pt>
                <c:pt idx="51">
                  <c:v>4.6280846332132146</c:v>
                </c:pt>
                <c:pt idx="52">
                  <c:v>4.579735448090843</c:v>
                </c:pt>
                <c:pt idx="53">
                  <c:v>4.6510723744434355</c:v>
                </c:pt>
                <c:pt idx="54">
                  <c:v>4.6008076840990837</c:v>
                </c:pt>
                <c:pt idx="55">
                  <c:v>4.6258498795295928</c:v>
                </c:pt>
                <c:pt idx="56">
                  <c:v>4.5795600275812731</c:v>
                </c:pt>
                <c:pt idx="57">
                  <c:v>4.6751131393376362</c:v>
                </c:pt>
                <c:pt idx="58">
                  <c:v>4.6367424937467723</c:v>
                </c:pt>
                <c:pt idx="59">
                  <c:v>4.6723633055593918</c:v>
                </c:pt>
                <c:pt idx="60">
                  <c:v>4.6272535437734028</c:v>
                </c:pt>
                <c:pt idx="61">
                  <c:v>4.6923116378509508</c:v>
                </c:pt>
                <c:pt idx="62">
                  <c:v>4.6277249051559242</c:v>
                </c:pt>
                <c:pt idx="63">
                  <c:v>4.654138429538544</c:v>
                </c:pt>
                <c:pt idx="64">
                  <c:v>4.6055241233448747</c:v>
                </c:pt>
                <c:pt idx="65">
                  <c:v>4.6570489089788722</c:v>
                </c:pt>
                <c:pt idx="66">
                  <c:v>4.5933182281879619</c:v>
                </c:pt>
                <c:pt idx="67">
                  <c:v>4.619399467870684</c:v>
                </c:pt>
                <c:pt idx="68">
                  <c:v>4.5710744775341681</c:v>
                </c:pt>
                <c:pt idx="69">
                  <c:v>4.6176460378978099</c:v>
                </c:pt>
                <c:pt idx="70">
                  <c:v>4.5567905375455471</c:v>
                </c:pt>
                <c:pt idx="71">
                  <c:v>4.5825165183360186</c:v>
                </c:pt>
                <c:pt idx="72">
                  <c:v>4.5250788104636275</c:v>
                </c:pt>
                <c:pt idx="73">
                  <c:v>4.5817357315846676</c:v>
                </c:pt>
                <c:pt idx="74">
                  <c:v>4.5216657434183425</c:v>
                </c:pt>
              </c:numCache>
            </c:numRef>
          </c:xVal>
          <c:yVal>
            <c:numRef>
              <c:f>PIB!$K$5:$K$79</c:f>
              <c:numCache>
                <c:formatCode>0.00</c:formatCode>
                <c:ptCount val="75"/>
                <c:pt idx="0">
                  <c:v>13.288573336663102</c:v>
                </c:pt>
                <c:pt idx="1">
                  <c:v>13.468083022261778</c:v>
                </c:pt>
                <c:pt idx="2">
                  <c:v>13.462451568574917</c:v>
                </c:pt>
                <c:pt idx="3">
                  <c:v>13.45398278665443</c:v>
                </c:pt>
                <c:pt idx="4">
                  <c:v>13.444305079081039</c:v>
                </c:pt>
                <c:pt idx="5">
                  <c:v>13.43535080151282</c:v>
                </c:pt>
                <c:pt idx="6">
                  <c:v>13.429887843518459</c:v>
                </c:pt>
                <c:pt idx="7">
                  <c:v>13.431776791965904</c:v>
                </c:pt>
                <c:pt idx="8">
                  <c:v>13.436520679956429</c:v>
                </c:pt>
                <c:pt idx="9">
                  <c:v>13.441463445056943</c:v>
                </c:pt>
                <c:pt idx="10">
                  <c:v>13.434118663341382</c:v>
                </c:pt>
                <c:pt idx="11">
                  <c:v>13.396592994969156</c:v>
                </c:pt>
                <c:pt idx="12">
                  <c:v>13.323601480042395</c:v>
                </c:pt>
                <c:pt idx="13">
                  <c:v>13.206185089483784</c:v>
                </c:pt>
                <c:pt idx="14">
                  <c:v>13.057221029555652</c:v>
                </c:pt>
                <c:pt idx="15">
                  <c:v>12.92142520172809</c:v>
                </c:pt>
                <c:pt idx="16">
                  <c:v>12.849627277596467</c:v>
                </c:pt>
                <c:pt idx="17">
                  <c:v>12.868364062324131</c:v>
                </c:pt>
                <c:pt idx="18">
                  <c:v>12.94272691252246</c:v>
                </c:pt>
                <c:pt idx="19">
                  <c:v>13.018055085742395</c:v>
                </c:pt>
                <c:pt idx="20">
                  <c:v>13.056139258667207</c:v>
                </c:pt>
                <c:pt idx="21">
                  <c:v>13.051445618795984</c:v>
                </c:pt>
                <c:pt idx="22">
                  <c:v>13.030596255218637</c:v>
                </c:pt>
                <c:pt idx="23">
                  <c:v>13.005541692002675</c:v>
                </c:pt>
                <c:pt idx="24">
                  <c:v>12.985881350221707</c:v>
                </c:pt>
                <c:pt idx="25">
                  <c:v>12.974093524346005</c:v>
                </c:pt>
                <c:pt idx="26">
                  <c:v>12.960647360779845</c:v>
                </c:pt>
                <c:pt idx="27">
                  <c:v>12.948606241038149</c:v>
                </c:pt>
                <c:pt idx="28">
                  <c:v>12.944835512488016</c:v>
                </c:pt>
                <c:pt idx="29">
                  <c:v>12.948542388193156</c:v>
                </c:pt>
                <c:pt idx="30">
                  <c:v>12.953323921680528</c:v>
                </c:pt>
                <c:pt idx="31">
                  <c:v>12.959208559497856</c:v>
                </c:pt>
                <c:pt idx="32">
                  <c:v>12.962251352906939</c:v>
                </c:pt>
                <c:pt idx="33">
                  <c:v>12.961542710923597</c:v>
                </c:pt>
                <c:pt idx="34">
                  <c:v>12.958429820341651</c:v>
                </c:pt>
                <c:pt idx="35">
                  <c:v>12.951418856008711</c:v>
                </c:pt>
                <c:pt idx="36">
                  <c:v>12.945382334645153</c:v>
                </c:pt>
                <c:pt idx="37">
                  <c:v>12.946704177739901</c:v>
                </c:pt>
                <c:pt idx="38">
                  <c:v>12.962414573674538</c:v>
                </c:pt>
                <c:pt idx="39">
                  <c:v>12.993242340087345</c:v>
                </c:pt>
                <c:pt idx="40">
                  <c:v>13.038818349315994</c:v>
                </c:pt>
                <c:pt idx="41">
                  <c:v>13.088266030699982</c:v>
                </c:pt>
                <c:pt idx="42">
                  <c:v>13.135501279316298</c:v>
                </c:pt>
                <c:pt idx="43">
                  <c:v>13.18244596999652</c:v>
                </c:pt>
                <c:pt idx="44">
                  <c:v>13.236668000020032</c:v>
                </c:pt>
                <c:pt idx="45">
                  <c:v>13.309591419356352</c:v>
                </c:pt>
                <c:pt idx="46">
                  <c:v>13.390593226161418</c:v>
                </c:pt>
                <c:pt idx="47">
                  <c:v>13.458827161608868</c:v>
                </c:pt>
                <c:pt idx="48">
                  <c:v>13.501183073004455</c:v>
                </c:pt>
                <c:pt idx="49">
                  <c:v>13.505745553630202</c:v>
                </c:pt>
                <c:pt idx="50">
                  <c:v>13.466928138187274</c:v>
                </c:pt>
                <c:pt idx="51">
                  <c:v>13.40576185083191</c:v>
                </c:pt>
                <c:pt idx="52">
                  <c:v>13.329307896666664</c:v>
                </c:pt>
                <c:pt idx="53">
                  <c:v>13.253244333640074</c:v>
                </c:pt>
                <c:pt idx="54">
                  <c:v>13.206527120396782</c:v>
                </c:pt>
                <c:pt idx="55">
                  <c:v>13.182392998713652</c:v>
                </c:pt>
                <c:pt idx="56">
                  <c:v>13.185966539354855</c:v>
                </c:pt>
                <c:pt idx="57">
                  <c:v>13.21277270398553</c:v>
                </c:pt>
                <c:pt idx="58">
                  <c:v>13.242987484503596</c:v>
                </c:pt>
                <c:pt idx="59">
                  <c:v>13.269680116101981</c:v>
                </c:pt>
                <c:pt idx="60">
                  <c:v>13.279910283520657</c:v>
                </c:pt>
                <c:pt idx="61">
                  <c:v>13.263860986551121</c:v>
                </c:pt>
                <c:pt idx="62">
                  <c:v>13.230305258469821</c:v>
                </c:pt>
                <c:pt idx="63">
                  <c:v>13.188029075539156</c:v>
                </c:pt>
                <c:pt idx="64">
                  <c:v>13.143549605906287</c:v>
                </c:pt>
                <c:pt idx="65">
                  <c:v>13.101990162353912</c:v>
                </c:pt>
                <c:pt idx="66">
                  <c:v>13.061161062713825</c:v>
                </c:pt>
                <c:pt idx="67">
                  <c:v>13.024245459590134</c:v>
                </c:pt>
                <c:pt idx="68">
                  <c:v>13.00342714582305</c:v>
                </c:pt>
                <c:pt idx="69">
                  <c:v>12.997217489857002</c:v>
                </c:pt>
                <c:pt idx="70">
                  <c:v>12.995573684557193</c:v>
                </c:pt>
                <c:pt idx="71">
                  <c:v>12.978164623588482</c:v>
                </c:pt>
                <c:pt idx="72">
                  <c:v>12.907806294136774</c:v>
                </c:pt>
                <c:pt idx="73">
                  <c:v>12.778820989394815</c:v>
                </c:pt>
                <c:pt idx="74">
                  <c:v>12.611391076215064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06-4343-993A-1C0C38E68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551568"/>
        <c:axId val="991072352"/>
      </c:scatterChart>
      <c:valAx>
        <c:axId val="102755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1072352"/>
        <c:crosses val="autoZero"/>
        <c:crossBetween val="midCat"/>
      </c:valAx>
      <c:valAx>
        <c:axId val="99107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755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6163</xdr:colOff>
      <xdr:row>13</xdr:row>
      <xdr:rowOff>49306</xdr:rowOff>
    </xdr:from>
    <xdr:to>
      <xdr:col>27</xdr:col>
      <xdr:colOff>63313</xdr:colOff>
      <xdr:row>43</xdr:row>
      <xdr:rowOff>68357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1CC2E5-7D93-CB08-B5F1-FCD6360B5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601475</xdr:colOff>
      <xdr:row>1</xdr:row>
      <xdr:rowOff>73118</xdr:rowOff>
    </xdr:from>
    <xdr:to>
      <xdr:col>46</xdr:col>
      <xdr:colOff>39500</xdr:colOff>
      <xdr:row>30</xdr:row>
      <xdr:rowOff>151701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11FA6D-2780-4F98-9AB5-10BAF3848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452437</xdr:colOff>
      <xdr:row>32</xdr:row>
      <xdr:rowOff>119062</xdr:rowOff>
    </xdr:from>
    <xdr:to>
      <xdr:col>47</xdr:col>
      <xdr:colOff>404812</xdr:colOff>
      <xdr:row>54</xdr:row>
      <xdr:rowOff>47626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52C3946-7D4B-4D26-B0B4-379B592AC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24984</xdr:colOff>
      <xdr:row>4</xdr:row>
      <xdr:rowOff>99933</xdr:rowOff>
    </xdr:from>
    <xdr:to>
      <xdr:col>31</xdr:col>
      <xdr:colOff>449705</xdr:colOff>
      <xdr:row>42</xdr:row>
      <xdr:rowOff>112425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68EA884-1CAA-455A-9453-604D1541F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552450</xdr:colOff>
      <xdr:row>4</xdr:row>
      <xdr:rowOff>57150</xdr:rowOff>
    </xdr:from>
    <xdr:to>
      <xdr:col>17</xdr:col>
      <xdr:colOff>552450</xdr:colOff>
      <xdr:row>21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39EC0A-0BEB-279F-8F5A-A881E5BB9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714375</xdr:colOff>
      <xdr:row>0</xdr:row>
      <xdr:rowOff>28574</xdr:rowOff>
    </xdr:from>
    <xdr:to>
      <xdr:col>18</xdr:col>
      <xdr:colOff>47625</xdr:colOff>
      <xdr:row>2</xdr:row>
      <xdr:rowOff>152399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3523199-F251-8E18-58B3-A712A5A6B8AD}"/>
            </a:ext>
          </a:extLst>
        </xdr:cNvPr>
        <xdr:cNvSpPr txBox="1"/>
      </xdr:nvSpPr>
      <xdr:spPr>
        <a:xfrm>
          <a:off x="10610850" y="28574"/>
          <a:ext cx="39052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Como e&gt;1 el</a:t>
          </a:r>
          <a:r>
            <a:rPr lang="es-ES" sz="1100" baseline="0"/>
            <a:t> Aeropuerto de Zaragoza es muy sensible a la economia (crece más rapido que esta)</a:t>
          </a:r>
          <a:endParaRPr lang="es-ES" sz="1100"/>
        </a:p>
      </xdr:txBody>
    </xdr:sp>
    <xdr:clientData/>
  </xdr:twoCellAnchor>
  <xdr:twoCellAnchor editAs="oneCell">
    <xdr:from>
      <xdr:col>12</xdr:col>
      <xdr:colOff>57150</xdr:colOff>
      <xdr:row>24</xdr:row>
      <xdr:rowOff>123825</xdr:rowOff>
    </xdr:from>
    <xdr:to>
      <xdr:col>15</xdr:col>
      <xdr:colOff>200364</xdr:colOff>
      <xdr:row>28</xdr:row>
      <xdr:rowOff>95336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E36F9E-E851-AE29-716C-8D4FBCC2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53625" y="4010025"/>
          <a:ext cx="2429214" cy="619211"/>
        </a:xfrm>
        <a:prstGeom prst="rect">
          <a:avLst/>
        </a:prstGeom>
      </xdr:spPr>
    </xdr:pic>
    <xdr:clientData/>
  </xdr:twoCellAnchor>
  <xdr:oneCellAnchor>
    <xdr:from>
      <xdr:col>17</xdr:col>
      <xdr:colOff>14287</xdr:colOff>
      <xdr:row>36</xdr:row>
      <xdr:rowOff>0</xdr:rowOff>
    </xdr:from>
    <xdr:ext cx="3881127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63361B1F-F851-300D-DAB6-EB330EA176B1}"/>
                </a:ext>
              </a:extLst>
            </xdr:cNvPr>
            <xdr:cNvSpPr txBox="1"/>
          </xdr:nvSpPr>
          <xdr:spPr>
            <a:xfrm>
              <a:off x="13720762" y="5829300"/>
              <a:ext cx="3881127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𝑒𝑚𝑎𝑛𝑑𝑎</m:t>
                        </m:r>
                      </m:e>
                      <m:sub>
                        <m:r>
                          <a:rPr lang="es-ES" sz="1100" i="1">
                            <a:latin typeface="Cambria Math" panose="02040503050406030204" pitchFamily="18" charset="0"/>
                          </a:rPr>
                          <m:t>𝐹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𝑢𝑡𝑢𝑟𝑎</m:t>
                        </m:r>
                      </m:sub>
                    </m:sSub>
                    <m:r>
                      <a:rPr lang="es-ES" sz="110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á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𝑓𝑖𝑐𝑜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ES" sz="1100" b="0" i="0">
                            <a:latin typeface="Cambria Math" panose="02040503050406030204" pitchFamily="18" charset="0"/>
                          </a:rPr>
                          <m:t>Origen</m:t>
                        </m:r>
                      </m:sub>
                    </m:sSub>
                    <m:r>
                      <a:rPr lang="es-ES" sz="1100" i="0">
                        <a:latin typeface="Cambria Math" panose="02040503050406030204" pitchFamily="18" charset="0"/>
                      </a:rPr>
                      <m:t>⋅</m:t>
                    </m:r>
                    <m:d>
                      <m:dPr>
                        <m:ctrlPr>
                          <a:rPr lang="es-ES" sz="1100" i="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i="0">
                            <a:latin typeface="Cambria Math" panose="02040503050406030204" pitchFamily="18" charset="0"/>
                          </a:rPr>
                          <m:t>1+</m:t>
                        </m:r>
                        <m:d>
                          <m:dPr>
                            <m:ctrlPr>
                              <a:rPr lang="es-E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ES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ES" sz="110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ES" sz="110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𝐼𝐵</m:t>
                                </m:r>
                              </m:sub>
                            </m:sSub>
                            <m:r>
                              <a:rPr lang="es-ES" sz="1100" i="0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𝐸𝑙𝑎𝑠𝑡𝑖𝑐𝑖𝑑𝑎𝑑</m:t>
                            </m:r>
                          </m:e>
                        </m:d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^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𝑛</m:t>
                    </m:r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63361B1F-F851-300D-DAB6-EB330EA176B1}"/>
                </a:ext>
              </a:extLst>
            </xdr:cNvPr>
            <xdr:cNvSpPr txBox="1"/>
          </xdr:nvSpPr>
          <xdr:spPr>
            <a:xfrm>
              <a:off x="13720762" y="5829300"/>
              <a:ext cx="3881127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i="0">
                  <a:latin typeface="Cambria Math" panose="02040503050406030204" pitchFamily="18" charset="0"/>
                </a:rPr>
                <a:t>〖𝐷</a:t>
              </a:r>
              <a:r>
                <a:rPr lang="es-ES" sz="1100" b="0" i="0">
                  <a:latin typeface="Cambria Math" panose="02040503050406030204" pitchFamily="18" charset="0"/>
                </a:rPr>
                <a:t>𝑒𝑚𝑎𝑛𝑑𝑎〗_</a:t>
              </a:r>
              <a:r>
                <a:rPr lang="es-ES" sz="1100" i="0">
                  <a:latin typeface="Cambria Math" panose="02040503050406030204" pitchFamily="18" charset="0"/>
                </a:rPr>
                <a:t>𝐹</a:t>
              </a:r>
              <a:r>
                <a:rPr lang="es-ES" sz="1100" b="0" i="0">
                  <a:latin typeface="Cambria Math" panose="02040503050406030204" pitchFamily="18" charset="0"/>
                </a:rPr>
                <a:t>𝑢𝑡𝑢𝑟𝑎</a:t>
              </a:r>
              <a:r>
                <a:rPr lang="es-ES" sz="1100" i="0">
                  <a:latin typeface="Cambria Math" panose="02040503050406030204" pitchFamily="18" charset="0"/>
                </a:rPr>
                <a:t>=〖𝑇</a:t>
              </a:r>
              <a:r>
                <a:rPr lang="es-ES" sz="1100" b="0" i="0">
                  <a:latin typeface="Cambria Math" panose="02040503050406030204" pitchFamily="18" charset="0"/>
                </a:rPr>
                <a:t>𝑟á𝑓𝑖𝑐𝑜〗_Origen</a:t>
              </a:r>
              <a:r>
                <a:rPr lang="es-ES" sz="1100" i="0">
                  <a:latin typeface="Cambria Math" panose="02040503050406030204" pitchFamily="18" charset="0"/>
                </a:rPr>
                <a:t>⋅(1+(𝑟_𝑝</a:t>
              </a:r>
              <a:r>
                <a:rPr lang="es-ES" sz="1100" b="0" i="0">
                  <a:latin typeface="Cambria Math" panose="02040503050406030204" pitchFamily="18" charset="0"/>
                </a:rPr>
                <a:t>𝐼𝐵</a:t>
              </a:r>
              <a:r>
                <a:rPr lang="es-ES" sz="1100" i="0">
                  <a:latin typeface="Cambria Math" panose="02040503050406030204" pitchFamily="18" charset="0"/>
                </a:rPr>
                <a:t>⋅</a:t>
              </a:r>
              <a:r>
                <a:rPr lang="es-ES" sz="1100" b="0" i="0">
                  <a:latin typeface="Cambria Math" panose="02040503050406030204" pitchFamily="18" charset="0"/>
                </a:rPr>
                <a:t>𝐸𝑙𝑎𝑠𝑡𝑖𝑐𝑖𝑑𝑎𝑑))^𝑛</a:t>
              </a:r>
              <a:endParaRPr lang="es-ES" sz="1100"/>
            </a:p>
          </xdr:txBody>
        </xdr:sp>
      </mc:Fallback>
    </mc:AlternateContent>
    <xdr:clientData/>
  </xdr:oneCellAnchor>
  <xdr:twoCellAnchor>
    <xdr:from>
      <xdr:col>18</xdr:col>
      <xdr:colOff>257175</xdr:colOff>
      <xdr:row>7</xdr:row>
      <xdr:rowOff>95250</xdr:rowOff>
    </xdr:from>
    <xdr:to>
      <xdr:col>24</xdr:col>
      <xdr:colOff>200025</xdr:colOff>
      <xdr:row>24</xdr:row>
      <xdr:rowOff>85725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5510C20-CD4D-F627-42FF-D6D96694B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u Marti Peiro" refreshedDate="46295.790321180553" createdVersion="8" refreshedVersion="8" minRefreshableVersion="3" recordCount="244" xr:uid="{AB3624F5-A84C-4A6D-94A3-2A54FECC4B61}">
  <cacheSource type="worksheet">
    <worksheetSource ref="A4:O248" sheet="Análisis tendencia"/>
  </cacheSource>
  <cacheFields count="15">
    <cacheField name="Año" numFmtId="0">
      <sharedItems containsSemiMixedTypes="0" containsString="0" containsNumber="1" containsInteger="1" minValue="4" maxValue="26"/>
    </cacheField>
    <cacheField name="Mes " numFmtId="0">
      <sharedItems count="12">
        <s v="Abr"/>
        <s v="Mar"/>
        <s v="Feb"/>
        <s v="Ene"/>
        <s v="Dic"/>
        <s v="Nov"/>
        <s v="Oct"/>
        <s v="Sep"/>
        <s v="Ago"/>
        <s v="Jul"/>
        <s v="Jun"/>
        <s v="May"/>
      </sharedItems>
    </cacheField>
    <cacheField name="Trimestre" numFmtId="0">
      <sharedItems/>
    </cacheField>
    <cacheField name="fecha" numFmtId="0">
      <sharedItems containsDate="1" containsMixedTypes="1" minDate="2004-01-01T00:00:00" maxDate="2019-12-02T00:00:00"/>
    </cacheField>
    <cacheField name="Salidas" numFmtId="164">
      <sharedItems containsSemiMixedTypes="0" containsString="0" containsNumber="1" containsInteger="1" minValue="5098" maxValue="41560"/>
    </cacheField>
    <cacheField name="Llegadas" numFmtId="164">
      <sharedItems containsSemiMixedTypes="0" containsString="0" containsNumber="1" containsInteger="1" minValue="4859" maxValue="42462"/>
    </cacheField>
    <cacheField name="Pasajeros" numFmtId="0">
      <sharedItems containsSemiMixedTypes="0" containsString="0" containsNumber="1" containsInteger="1" minValue="10502" maxValue="84022"/>
    </cacheField>
    <cacheField name="% salidas" numFmtId="165">
      <sharedItems containsSemiMixedTypes="0" containsString="0" containsNumber="1" minValue="0.46625729009164685" maxValue="0.53985422055019983"/>
    </cacheField>
    <cacheField name="% llegadas" numFmtId="165">
      <sharedItems containsSemiMixedTypes="0" containsString="0" containsNumber="1" minValue="0.46014577944980012" maxValue="0.53374270990835315"/>
    </cacheField>
    <cacheField name="Media móvil salidas" numFmtId="0">
      <sharedItems containsString="0" containsBlank="1" containsNumber="1" minValue="8718.5" maxValue="31394.583333333332"/>
    </cacheField>
    <cacheField name="media móvil llegadas" numFmtId="0">
      <sharedItems containsString="0" containsBlank="1" containsNumber="1" minValue="8851.5833333333339" maxValue="31336.75"/>
    </cacheField>
    <cacheField name="Media móvil total" numFmtId="0">
      <sharedItems containsString="0" containsBlank="1" containsNumber="1" minValue="17570.083333333332" maxValue="62731.333333333336"/>
    </cacheField>
    <cacheField name="índice estacional salidas" numFmtId="0">
      <sharedItems containsString="0" containsBlank="1" containsNumber="1" minValue="0.50566965854281798" maxValue="1.8294385871358139"/>
    </cacheField>
    <cacheField name="índice estacional llegadas" numFmtId="0">
      <sharedItems containsString="0" containsBlank="1" containsNumber="1" minValue="0.51615122875947417" maxValue="1.861361834166523"/>
    </cacheField>
    <cacheField name="índice estacional total" numFmtId="0">
      <sharedItems containsString="0" containsBlank="1" containsNumber="1" minValue="0.5247517460873512" maxValue="1.84526404424608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u Marti Peiro" refreshedDate="46295.794799074072" createdVersion="8" refreshedVersion="8" minRefreshableVersion="3" recordCount="232" xr:uid="{EABB04C3-37C6-4A1B-B958-22068859FB1A}">
  <cacheSource type="worksheet">
    <worksheetSource ref="A1:D233" sheet="Media móvil total"/>
  </cacheSource>
  <cacheFields count="4">
    <cacheField name="Año" numFmtId="0">
      <sharedItems containsSemiMixedTypes="0" containsString="0" containsNumber="1" containsInteger="1" minValue="4" maxValue="25" count="20">
        <n v="25"/>
        <n v="24"/>
        <n v="23"/>
        <n v="22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</sharedItems>
    </cacheField>
    <cacheField name="Mes " numFmtId="0">
      <sharedItems/>
    </cacheField>
    <cacheField name="Trimestre" numFmtId="0">
      <sharedItems count="4">
        <s v="T4"/>
        <s v="T3"/>
        <s v="T2"/>
        <s v="T1"/>
      </sharedItems>
    </cacheField>
    <cacheField name="Media móvil total" numFmtId="0">
      <sharedItems containsSemiMixedTypes="0" containsString="0" containsNumber="1" minValue="17570.083333333332" maxValue="62731.3333333333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n v="26"/>
    <x v="0"/>
    <s v="T2"/>
    <s v="Abr 26"/>
    <n v="31159"/>
    <n v="31904"/>
    <n v="63063"/>
    <n v="0.49409320837892268"/>
    <n v="0.50590679162107732"/>
    <m/>
    <m/>
    <m/>
    <m/>
    <m/>
    <m/>
  </r>
  <r>
    <n v="26"/>
    <x v="1"/>
    <s v="T1"/>
    <s v="Mar 26"/>
    <n v="27450"/>
    <n v="26383"/>
    <n v="53833"/>
    <n v="0.50991027808221723"/>
    <n v="0.49008972191778277"/>
    <m/>
    <m/>
    <m/>
    <m/>
    <m/>
    <m/>
  </r>
  <r>
    <n v="26"/>
    <x v="2"/>
    <s v="T1"/>
    <s v="Feb 26"/>
    <n v="21719"/>
    <n v="21766"/>
    <n v="43485"/>
    <n v="0.49945958376451649"/>
    <n v="0.50054041623548351"/>
    <m/>
    <m/>
    <m/>
    <m/>
    <m/>
    <m/>
  </r>
  <r>
    <n v="26"/>
    <x v="3"/>
    <s v="T1"/>
    <s v="Ene 26"/>
    <n v="23695"/>
    <n v="22640"/>
    <n v="46335"/>
    <n v="0.5113844825725693"/>
    <n v="0.48861551742743065"/>
    <m/>
    <m/>
    <m/>
    <m/>
    <m/>
    <m/>
  </r>
  <r>
    <n v="25"/>
    <x v="4"/>
    <s v="T4"/>
    <s v="Dic 25"/>
    <n v="25076"/>
    <n v="26116"/>
    <n v="51192"/>
    <n v="0.48984216283794341"/>
    <n v="0.51015783716205654"/>
    <m/>
    <m/>
    <m/>
    <m/>
    <m/>
    <m/>
  </r>
  <r>
    <n v="25"/>
    <x v="5"/>
    <s v="T4"/>
    <s v="Nov 25"/>
    <n v="24038"/>
    <n v="23861"/>
    <n v="47899"/>
    <n v="0.50184763773773988"/>
    <n v="0.49815236226226017"/>
    <m/>
    <m/>
    <m/>
    <m/>
    <m/>
    <m/>
  </r>
  <r>
    <n v="25"/>
    <x v="6"/>
    <s v="T4"/>
    <s v="Oct 25"/>
    <n v="33094"/>
    <n v="33174"/>
    <n v="66268"/>
    <n v="0.49939639041467976"/>
    <n v="0.50060360958532024"/>
    <n v="29620.416666666668"/>
    <n v="29446"/>
    <n v="59066.416666666664"/>
    <n v="1.1172699011098763"/>
    <n v="1.1266046322081098"/>
    <n v="1.1219234844391273"/>
  </r>
  <r>
    <n v="25"/>
    <x v="7"/>
    <s v="T3"/>
    <s v="Sep 25"/>
    <n v="30295"/>
    <n v="32984"/>
    <n v="63279"/>
    <n v="0.47875282479179504"/>
    <n v="0.52124717520820496"/>
    <n v="29712.458333333332"/>
    <n v="29475.083333333332"/>
    <n v="59187.541666666664"/>
    <n v="1.0196059733641472"/>
    <n v="1.1190468785782341"/>
    <n v="1.0691270192699618"/>
  </r>
  <r>
    <n v="25"/>
    <x v="8"/>
    <s v="T3"/>
    <s v="Ago 25"/>
    <n v="36790"/>
    <n v="37144"/>
    <n v="73934"/>
    <n v="0.49760597289474395"/>
    <n v="0.50239402710525605"/>
    <n v="29674.25"/>
    <n v="29459.166666666668"/>
    <n v="59133.416666666664"/>
    <n v="1.2397954455462228"/>
    <n v="1.2608639076688071"/>
    <n v="1.2502913609197281"/>
  </r>
  <r>
    <n v="25"/>
    <x v="9"/>
    <s v="T3"/>
    <s v="Jul 25"/>
    <n v="36520"/>
    <n v="34544"/>
    <n v="71064"/>
    <n v="0.51390296071147135"/>
    <n v="0.48609703928852865"/>
    <n v="29643.083333333332"/>
    <n v="29410.291666666668"/>
    <n v="59053.375"/>
    <n v="1.2319905992685196"/>
    <n v="1.1745548256208498"/>
    <n v="1.2033859199410704"/>
  </r>
  <r>
    <n v="25"/>
    <x v="10"/>
    <s v="T2"/>
    <s v="Jun 25"/>
    <n v="31883"/>
    <n v="29410"/>
    <n v="61293"/>
    <n v="0.52017359241675232"/>
    <n v="0.47982640758324768"/>
    <n v="29676.458333333332"/>
    <n v="29424.291666666668"/>
    <n v="59100.75"/>
    <n v="1.0743532682330972"/>
    <n v="0.99951429020523008"/>
    <n v="1.0370934379005343"/>
  </r>
  <r>
    <n v="25"/>
    <x v="11"/>
    <s v="T2"/>
    <s v="May 25"/>
    <n v="32119"/>
    <n v="32743"/>
    <n v="64862"/>
    <n v="0.4951897875489501"/>
    <n v="0.50481021245104996"/>
    <n v="29746.208333333332"/>
    <n v="29516.041666666668"/>
    <n v="59262.25"/>
    <n v="1.0797678695744135"/>
    <n v="1.1093289665930248"/>
    <n v="1.0944910124067175"/>
  </r>
  <r>
    <n v="25"/>
    <x v="0"/>
    <s v="T2"/>
    <s v="Abr 25"/>
    <n v="34373"/>
    <n v="33270"/>
    <n v="67643"/>
    <n v="0.50815309788152507"/>
    <n v="0.49184690211847493"/>
    <n v="29645.166666666668"/>
    <n v="29456.125"/>
    <n v="59101.291666666664"/>
    <n v="1.1594807472831434"/>
    <n v="1.1294764671184685"/>
    <n v="1.1445265931159148"/>
  </r>
  <r>
    <n v="25"/>
    <x v="1"/>
    <s v="T1"/>
    <s v="Mar 25"/>
    <n v="26445"/>
    <n v="25715"/>
    <n v="52160"/>
    <n v="0.50699769938650308"/>
    <n v="0.49300230061349692"/>
    <n v="29582.541666666668"/>
    <n v="29395.333333333332"/>
    <n v="58977.875"/>
    <n v="0.89393941528012721"/>
    <n v="0.87479872088540134"/>
    <n v="0.88439944640257051"/>
  </r>
  <r>
    <n v="25"/>
    <x v="2"/>
    <s v="T1"/>
    <s v="Feb 25"/>
    <n v="21807"/>
    <n v="22052"/>
    <n v="43859"/>
    <n v="0.4972069586629882"/>
    <n v="0.50279304133701175"/>
    <n v="29555.666666666668"/>
    <n v="29361.666666666668"/>
    <n v="58917.333333333336"/>
    <n v="0.73782805327799517"/>
    <n v="0.75104728387353126"/>
    <n v="0.74441590477052588"/>
  </r>
  <r>
    <n v="25"/>
    <x v="3"/>
    <s v="T1"/>
    <s v="Ene 25"/>
    <n v="22859"/>
    <n v="21181"/>
    <n v="44040"/>
    <n v="0.51905086285195279"/>
    <n v="0.48094913714804721"/>
    <n v="29384.125"/>
    <n v="29226.125"/>
    <n v="58610.25"/>
    <n v="0.77793706635811"/>
    <n v="0.72472830387196385"/>
    <n v="0.75140440451968726"/>
  </r>
  <r>
    <n v="24"/>
    <x v="4"/>
    <s v="T4"/>
    <s v="Dic 24"/>
    <n v="26713"/>
    <n v="27911"/>
    <n v="54624"/>
    <n v="0.48903412419449327"/>
    <n v="0.51096587580550679"/>
    <n v="29358.5"/>
    <n v="29215.916666666668"/>
    <n v="58574.416666666664"/>
    <n v="0.90988981044671902"/>
    <n v="0.95533541933478039"/>
    <n v="0.93255730246282154"/>
  </r>
  <r>
    <n v="24"/>
    <x v="5"/>
    <s v="T4"/>
    <s v="Nov 24"/>
    <n v="24075"/>
    <n v="24268"/>
    <n v="48343"/>
    <n v="0.49800384750636079"/>
    <n v="0.50199615249363916"/>
    <n v="29365.333333333332"/>
    <n v="29185.291666666668"/>
    <n v="58550.625"/>
    <n v="0.81984426080639305"/>
    <n v="0.83151473273495347"/>
    <n v="0.8256615535700943"/>
  </r>
  <r>
    <n v="24"/>
    <x v="6"/>
    <s v="T4"/>
    <s v="Oct 24"/>
    <n v="30632"/>
    <n v="31329"/>
    <n v="61961"/>
    <n v="0.49437549426251998"/>
    <n v="0.50562450573748008"/>
    <n v="29088.291666666668"/>
    <n v="28945.791666666668"/>
    <n v="58034.083333333336"/>
    <n v="1.0530697488537055"/>
    <n v="1.0823334998323013"/>
    <n v="1.0676656964513669"/>
  </r>
  <r>
    <n v="24"/>
    <x v="7"/>
    <s v="T3"/>
    <s v="Sep 24"/>
    <n v="31254"/>
    <n v="33370"/>
    <n v="64624"/>
    <n v="0.48362837335974251"/>
    <n v="0.51637162664025749"/>
    <n v="28932.5"/>
    <n v="28863.916666666668"/>
    <n v="57796.416666666664"/>
    <n v="1.0802384861315131"/>
    <n v="1.1561147568908123"/>
    <n v="1.1181316027377708"/>
  </r>
  <r>
    <n v="24"/>
    <x v="8"/>
    <s v="T3"/>
    <s v="Ago 24"/>
    <n v="35186"/>
    <n v="35950"/>
    <n v="71136"/>
    <n v="0.49463000449842554"/>
    <n v="0.50536999550157446"/>
    <n v="28945.416666666668"/>
    <n v="28870.75"/>
    <n v="57816.166666666664"/>
    <n v="1.2155983244324806"/>
    <n v="1.2452049219365622"/>
    <n v="1.2303825054699233"/>
  </r>
  <r>
    <n v="24"/>
    <x v="9"/>
    <s v="T3"/>
    <s v="Jul 24"/>
    <n v="34007"/>
    <n v="32485"/>
    <n v="66492"/>
    <n v="0.51144498586296094"/>
    <n v="0.48855501413703906"/>
    <n v="28929.291666666668"/>
    <n v="28865"/>
    <n v="57794.291666666664"/>
    <n v="1.1755213501886064"/>
    <n v="1.125411397886714"/>
    <n v="1.1504942457552396"/>
  </r>
  <r>
    <n v="24"/>
    <x v="10"/>
    <s v="T2"/>
    <s v="Jun 24"/>
    <n v="33781"/>
    <n v="31224"/>
    <n v="65005"/>
    <n v="0.51966771786785637"/>
    <n v="0.48033228213214368"/>
    <n v="28874.75"/>
    <n v="28788.333333333332"/>
    <n v="57663.083333333336"/>
    <n v="1.1699148910380177"/>
    <n v="1.0846060325363285"/>
    <n v="1.1273243857638553"/>
  </r>
  <r>
    <n v="24"/>
    <x v="11"/>
    <s v="T2"/>
    <s v="May 24"/>
    <n v="30385"/>
    <n v="30194"/>
    <n v="60579"/>
    <n v="0.50157645388666039"/>
    <n v="0.49842354611333961"/>
    <n v="28654.083333333332"/>
    <n v="28493.625"/>
    <n v="57147.708333333336"/>
    <n v="1.0604073299616983"/>
    <n v="1.0596756291977592"/>
    <n v="1.0600425068080157"/>
  </r>
  <r>
    <n v="24"/>
    <x v="0"/>
    <s v="T2"/>
    <s v="Abr 24"/>
    <n v="29458"/>
    <n v="30071"/>
    <n v="59529"/>
    <n v="0.49485124897108973"/>
    <n v="0.50514875102891033"/>
    <n v="28455.375"/>
    <n v="28273.625"/>
    <n v="56729"/>
    <n v="1.0352349951459083"/>
    <n v="1.0635707306721369"/>
    <n v="1.0493574714872465"/>
  </r>
  <r>
    <n v="24"/>
    <x v="1"/>
    <s v="T1"/>
    <s v="Mar 24"/>
    <n v="27621"/>
    <n v="26949"/>
    <n v="54570"/>
    <n v="0.50615722924683892"/>
    <n v="0.49384277075316108"/>
    <n v="28360.791666666668"/>
    <n v="28165.625"/>
    <n v="56526.416666666664"/>
    <n v="0.973914985330393"/>
    <n v="0.95680461555530905"/>
    <n v="0.96538933861306742"/>
  </r>
  <r>
    <n v="24"/>
    <x v="2"/>
    <s v="T1"/>
    <s v="Feb 24"/>
    <n v="20941"/>
    <n v="20982"/>
    <n v="41923"/>
    <n v="0.49951100827707939"/>
    <n v="0.50048899172292061"/>
    <n v="28382.541666666668"/>
    <n v="28112.125"/>
    <n v="56494.666666666664"/>
    <n v="0.73781271057178632"/>
    <n v="0.74636833750561371"/>
    <n v="0.74207004791012721"/>
  </r>
  <r>
    <n v="24"/>
    <x v="3"/>
    <s v="T1"/>
    <s v="Ene 24"/>
    <n v="23338"/>
    <n v="22113"/>
    <n v="45451"/>
    <n v="0.51347605113198824"/>
    <n v="0.4865239488680117"/>
    <n v="28529.75"/>
    <n v="28245.541666666668"/>
    <n v="56775.291666666664"/>
    <n v="0.81802329147644126"/>
    <n v="0.78288461453356206"/>
    <n v="0.80054190239738976"/>
  </r>
  <r>
    <n v="23"/>
    <x v="4"/>
    <s v="T4"/>
    <s v="Dic 23"/>
    <n v="24925"/>
    <n v="25139"/>
    <n v="50064"/>
    <n v="0.49786273569830619"/>
    <n v="0.50213726430169381"/>
    <n v="28479.958333333332"/>
    <n v="28225.208333333332"/>
    <n v="56705.166666666664"/>
    <n v="0.87517684219458425"/>
    <n v="0.89065773060429143"/>
    <n v="0.88288251217555136"/>
  </r>
  <r>
    <n v="23"/>
    <x v="5"/>
    <s v="T4"/>
    <s v="Nov 23"/>
    <n v="20567"/>
    <n v="19967"/>
    <n v="40534"/>
    <n v="0.50740119405930828"/>
    <n v="0.49259880594069178"/>
    <n v="28218"/>
    <n v="27957.583333333332"/>
    <n v="56175.583333333336"/>
    <n v="0.72886101070238851"/>
    <n v="0.71418905425182799"/>
    <n v="0.72155904033039264"/>
  </r>
  <r>
    <n v="23"/>
    <x v="6"/>
    <s v="T4"/>
    <s v="Oct 23"/>
    <n v="29371"/>
    <n v="30350"/>
    <n v="59721"/>
    <n v="0.49180355318899549"/>
    <n v="0.50819644681100451"/>
    <n v="28207.166666666668"/>
    <n v="27921.208333333332"/>
    <n v="56128.375"/>
    <n v="1.0412601998310123"/>
    <n v="1.0869873408654414"/>
    <n v="1.0640072868669368"/>
  </r>
  <r>
    <n v="23"/>
    <x v="7"/>
    <s v="T3"/>
    <s v="Sep 23"/>
    <n v="30245"/>
    <n v="31757"/>
    <n v="62002"/>
    <n v="0.48780684494048582"/>
    <n v="0.51219315505951424"/>
    <n v="28325.833333333332"/>
    <n v="27989.208333333332"/>
    <n v="56315.041666666664"/>
    <n v="1.0677532287958578"/>
    <n v="1.1346158712956333"/>
    <n v="1.1009847132315893"/>
  </r>
  <r>
    <n v="23"/>
    <x v="8"/>
    <s v="T3"/>
    <s v="Ago 23"/>
    <n v="36717"/>
    <n v="36279"/>
    <n v="72996"/>
    <n v="0.50300016439256945"/>
    <n v="0.49699983560743055"/>
    <n v="28396.583333333332"/>
    <n v="28074.708333333332"/>
    <n v="56471.291666666664"/>
    <n v="1.2930076681760423"/>
    <n v="1.2922306999330655"/>
    <n v="1.2926213983358801"/>
  </r>
  <r>
    <n v="23"/>
    <x v="9"/>
    <s v="T3"/>
    <s v="Jul 23"/>
    <n v="36009"/>
    <n v="35358"/>
    <n v="71367"/>
    <n v="0.50456093152297277"/>
    <n v="0.49543906847702718"/>
    <n v="28572.75"/>
    <n v="28322.666666666668"/>
    <n v="56895.416666666664"/>
    <n v="1.2602567131270179"/>
    <n v="1.2483993974202052"/>
    <n v="1.2543541146401658"/>
  </r>
  <r>
    <n v="23"/>
    <x v="10"/>
    <s v="T2"/>
    <s v="Jun 23"/>
    <n v="30584"/>
    <n v="27863"/>
    <n v="58447"/>
    <n v="0.5232774992728455"/>
    <n v="0.4767225007271545"/>
    <n v="28753"/>
    <n v="28566.041666666668"/>
    <n v="57319.041666666664"/>
    <n v="1.0636803116196571"/>
    <n v="0.97538890144912738"/>
    <n v="1.0196785972084612"/>
  </r>
  <r>
    <n v="23"/>
    <x v="11"/>
    <s v="T2"/>
    <s v="May 23"/>
    <n v="27295"/>
    <n v="27132"/>
    <n v="54427"/>
    <n v="0.5014974185606409"/>
    <n v="0.49850258143935916"/>
    <n v="28919.291666666668"/>
    <n v="28760.708333333332"/>
    <n v="57680"/>
    <n v="0.94383362893570177"/>
    <n v="0.94337036784849704"/>
    <n v="0.9436026352288488"/>
  </r>
  <r>
    <n v="23"/>
    <x v="0"/>
    <s v="T2"/>
    <s v="Abr 23"/>
    <n v="32288"/>
    <n v="32260"/>
    <n v="64548"/>
    <n v="0.50021689285492965"/>
    <n v="0.49978310714507035"/>
    <n v="29009.083333333332"/>
    <n v="28817.416666666668"/>
    <n v="57826.5"/>
    <n v="1.1130306886636083"/>
    <n v="1.1194618994878676"/>
    <n v="1.1162356359108714"/>
  </r>
  <r>
    <n v="23"/>
    <x v="1"/>
    <s v="T1"/>
    <s v="Mar 23"/>
    <n v="27639"/>
    <n v="26392"/>
    <n v="54031"/>
    <n v="0.51153967166996728"/>
    <n v="0.48846032833003278"/>
    <n v="28987.958333333332"/>
    <n v="28772.166666666668"/>
    <n v="57760.125"/>
    <n v="0.95346487262670854"/>
    <n v="0.91727537608684317"/>
    <n v="0.93543772628608401"/>
  </r>
  <r>
    <n v="23"/>
    <x v="2"/>
    <s v="T1"/>
    <s v="Feb 23"/>
    <n v="22621"/>
    <n v="23591"/>
    <n v="46212"/>
    <n v="0.48950489050463081"/>
    <n v="0.51049510949536914"/>
    <n v="28951.708333333332"/>
    <n v="28743.125"/>
    <n v="57694.833333333336"/>
    <n v="0.78133558612689813"/>
    <n v="0.82075278871034374"/>
    <n v="0.80097293518483748"/>
  </r>
  <r>
    <n v="23"/>
    <x v="3"/>
    <s v="T1"/>
    <s v="Ene 23"/>
    <n v="25886"/>
    <n v="25455"/>
    <n v="51341"/>
    <n v="0.50419742505989362"/>
    <n v="0.49580257494010632"/>
    <n v="28898"/>
    <n v="28683.166666666668"/>
    <n v="57581.166666666664"/>
    <n v="0.89577133365630834"/>
    <n v="0.88745431408665942"/>
    <n v="0.89162833912708728"/>
  </r>
  <r>
    <n v="22"/>
    <x v="4"/>
    <s v="T4"/>
    <s v="Dic 22"/>
    <n v="26703"/>
    <n v="27638"/>
    <n v="54341"/>
    <n v="0.49139691945308328"/>
    <n v="0.50860308054691672"/>
    <n v="28969.375"/>
    <n v="28692.125"/>
    <n v="57661.5"/>
    <n v="0.92176652067916554"/>
    <n v="0.96326082505217026"/>
    <n v="0.94241391569764921"/>
  </r>
  <r>
    <n v="22"/>
    <x v="5"/>
    <s v="T4"/>
    <s v="Nov 22"/>
    <n v="22780"/>
    <n v="22140"/>
    <n v="44920"/>
    <n v="0.50712377560106858"/>
    <n v="0.49287622439893142"/>
    <n v="28997"/>
    <n v="28684"/>
    <n v="57681"/>
    <n v="0.78559851019070936"/>
    <n v="0.77185887602844794"/>
    <n v="0.77876597146374027"/>
  </r>
  <r>
    <n v="22"/>
    <x v="6"/>
    <s v="T4"/>
    <s v="Oct 22"/>
    <n v="29313"/>
    <n v="29538"/>
    <n v="58851"/>
    <n v="0.49808839272059946"/>
    <n v="0.50191160727940054"/>
    <n v="28698.666666666668"/>
    <n v="28359.916666666668"/>
    <n v="57058.583333333336"/>
    <n v="1.021406337112061"/>
    <n v="1.0415404370605226"/>
    <n v="1.031413620211975"/>
  </r>
  <r>
    <n v="22"/>
    <x v="7"/>
    <s v="T3"/>
    <s v="Sep 22"/>
    <n v="29796"/>
    <n v="31483"/>
    <n v="61279"/>
    <n v="0.4862350886927006"/>
    <n v="0.5137649113072994"/>
    <n v="28261.375"/>
    <n v="27921.958333333332"/>
    <n v="56183.333333333336"/>
    <n v="1.0543011442295358"/>
    <n v="1.1275355268478962"/>
    <n v="1.0906971225155739"/>
  </r>
  <r>
    <n v="22"/>
    <x v="8"/>
    <s v="T3"/>
    <s v="Ago 22"/>
    <n v="36296"/>
    <n v="35856"/>
    <n v="72152"/>
    <n v="0.50304911852755296"/>
    <n v="0.49695088147244704"/>
    <n v="27697.583333333332"/>
    <n v="27402.333333333332"/>
    <n v="55099.916666666664"/>
    <n v="1.310439238080338"/>
    <n v="1.3085017091001983"/>
    <n v="1.3094756646637398"/>
  </r>
  <r>
    <n v="22"/>
    <x v="9"/>
    <s v="T3"/>
    <s v="Jul 22"/>
    <n v="35141"/>
    <n v="34342"/>
    <n v="69483"/>
    <n v="0.50574960781773959"/>
    <n v="0.49425039218226041"/>
    <n v="26850.916666666668"/>
    <n v="26513.291666666668"/>
    <n v="53364.208333333336"/>
    <n v="1.3087448907703336"/>
    <n v="1.2952748542790644"/>
    <n v="1.3020524836793699"/>
  </r>
  <r>
    <n v="22"/>
    <x v="10"/>
    <s v="T2"/>
    <s v="Jun 22"/>
    <n v="33165"/>
    <n v="29094"/>
    <n v="62259"/>
    <n v="0.53269406832747068"/>
    <n v="0.46730593167252926"/>
    <n v="25808.375"/>
    <n v="25417.916666666668"/>
    <n v="51226.291666666664"/>
    <n v="1.285047973768205"/>
    <n v="1.144625674147173"/>
    <n v="1.2153719891559591"/>
  </r>
  <r>
    <n v="22"/>
    <x v="11"/>
    <s v="T2"/>
    <s v="May 22"/>
    <n v="25377"/>
    <n v="25706"/>
    <n v="51083"/>
    <n v="0.4967797506019615"/>
    <n v="0.50322024939803844"/>
    <n v="24842.25"/>
    <n v="24428.916666666668"/>
    <n v="49271.166666666664"/>
    <n v="1.0215258279745192"/>
    <n v="1.0522775262922697"/>
    <n v="1.0367726899099203"/>
  </r>
  <r>
    <n v="22"/>
    <x v="0"/>
    <s v="T2"/>
    <s v="Abr 22"/>
    <n v="27046"/>
    <n v="25908"/>
    <n v="52954"/>
    <n v="0.5107451750575972"/>
    <n v="0.48925482494240286"/>
    <n v="23808.041666666668"/>
    <n v="23368.25"/>
    <n v="47176.291666666664"/>
    <n v="1.1360027161690816"/>
    <n v="1.1086837910412632"/>
    <n v="1.1224705912486057"/>
  </r>
  <r>
    <n v="22"/>
    <x v="1"/>
    <s v="T1"/>
    <s v="Mar 22"/>
    <n v="22386"/>
    <n v="22233"/>
    <n v="44619"/>
    <n v="0.50171451623747731"/>
    <n v="0.49828548376252269"/>
    <n v="22678.583333333332"/>
    <n v="22159.333333333332"/>
    <n v="44837.916666666664"/>
    <n v="0.98709869443638087"/>
    <n v="1.0033244080748518"/>
    <n v="0.9951175995019097"/>
  </r>
  <r>
    <n v="22"/>
    <x v="2"/>
    <s v="T1"/>
    <s v="Feb 22"/>
    <n v="14343"/>
    <n v="15279"/>
    <n v="29622"/>
    <n v="0.48420093173992301"/>
    <n v="0.51579906826007693"/>
    <n v="21441.833333333332"/>
    <n v="20856.416666666668"/>
    <n v="42298.25"/>
    <n v="0.66892600912546352"/>
    <n v="0.73258030102646265"/>
    <n v="0.700312660689272"/>
  </r>
  <r>
    <n v="22"/>
    <x v="3"/>
    <s v="T1"/>
    <s v="Ene 22"/>
    <n v="13844"/>
    <n v="12430"/>
    <n v="26274"/>
    <n v="0.52690873106493108"/>
    <n v="0.47309126893506886"/>
    <n v="20080.166666666668"/>
    <n v="19519.333333333332"/>
    <n v="39599.5"/>
    <n v="0.68943650866111661"/>
    <n v="0.63680453567403261"/>
    <n v="0.66349322592456972"/>
  </r>
  <r>
    <n v="19"/>
    <x v="4"/>
    <s v="T4"/>
    <d v="2019-12-01T00:00:00"/>
    <n v="13724"/>
    <n v="14374"/>
    <n v="28098"/>
    <n v="0.48843334045127768"/>
    <n v="0.51156665954872238"/>
    <n v="18751.416666666668"/>
    <n v="18325.708333333332"/>
    <n v="37077.125"/>
    <n v="0.73189136820773537"/>
    <n v="0.78436258716693541"/>
    <n v="0.75782574835562355"/>
  </r>
  <r>
    <n v="19"/>
    <x v="5"/>
    <s v="T4"/>
    <d v="2019-11-01T00:00:00"/>
    <n v="12572"/>
    <n v="11668"/>
    <n v="24240"/>
    <n v="0.5186468646864687"/>
    <n v="0.48135313531353136"/>
    <n v="17558.375"/>
    <n v="17233.166666666668"/>
    <n v="34791.541666666664"/>
    <n v="0.71601158991079761"/>
    <n v="0.67706650934728574"/>
    <n v="0.69672106606371043"/>
  </r>
  <r>
    <n v="19"/>
    <x v="6"/>
    <s v="T4"/>
    <d v="2019-10-01T00:00:00"/>
    <n v="14700"/>
    <n v="14554"/>
    <n v="29254"/>
    <n v="0.50249538524646198"/>
    <n v="0.49750461475353797"/>
    <n v="16543.75"/>
    <n v="16248.208333333334"/>
    <n v="32791.958333333336"/>
    <n v="0.88855307895731017"/>
    <n v="0.89572952915321424"/>
    <n v="0.89210896472331247"/>
  </r>
  <r>
    <n v="19"/>
    <x v="7"/>
    <s v="T3"/>
    <d v="2019-09-01T00:00:00"/>
    <n v="17302"/>
    <n v="17453"/>
    <n v="34755"/>
    <n v="0.49782765069774132"/>
    <n v="0.50217234930225862"/>
    <n v="15581.541666666666"/>
    <n v="15320.875"/>
    <n v="30902.416666666668"/>
    <n v="1.1104164382535961"/>
    <n v="1.1391647017549584"/>
    <n v="1.1246693219785939"/>
  </r>
  <r>
    <n v="19"/>
    <x v="8"/>
    <s v="T3"/>
    <d v="2019-08-01T00:00:00"/>
    <n v="19108"/>
    <n v="18616"/>
    <n v="37724"/>
    <n v="0.50652104760894923"/>
    <n v="0.49347895239105077"/>
    <n v="14927.375"/>
    <n v="14629.125"/>
    <n v="29556.5"/>
    <n v="1.2800643113742369"/>
    <n v="1.2725299701793511"/>
    <n v="1.2763351547037032"/>
  </r>
  <r>
    <n v="19"/>
    <x v="9"/>
    <s v="T3"/>
    <d v="2019-07-01T00:00:00"/>
    <n v="19649"/>
    <n v="19492"/>
    <n v="39141"/>
    <n v="0.50200556960731713"/>
    <n v="0.49799443039268287"/>
    <n v="14619.041666666666"/>
    <n v="14319.041666666666"/>
    <n v="28938.083333333332"/>
    <n v="1.3440689511681398"/>
    <n v="1.3612642838644347"/>
    <n v="1.3525774858390185"/>
  </r>
  <r>
    <n v="19"/>
    <x v="10"/>
    <s v="T2"/>
    <d v="2019-06-01T00:00:00"/>
    <n v="16767"/>
    <n v="15297"/>
    <n v="32064"/>
    <n v="0.5229229041916168"/>
    <n v="0.47707709580838326"/>
    <n v="14616"/>
    <n v="14371.666666666666"/>
    <n v="28987.666666666668"/>
    <n v="1.1471674876847291"/>
    <n v="1.0643859445668562"/>
    <n v="1.1061255936432735"/>
  </r>
  <r>
    <n v="19"/>
    <x v="11"/>
    <s v="T2"/>
    <d v="2019-05-01T00:00:00"/>
    <n v="13142"/>
    <n v="13282"/>
    <n v="26424"/>
    <n v="0.49735089312745989"/>
    <n v="0.50264910687254016"/>
    <n v="14782.791666666666"/>
    <n v="14587.875"/>
    <n v="29370.666666666668"/>
    <n v="0.88900664342267333"/>
    <n v="0.91048216412602934"/>
    <n v="0.89967314327219894"/>
  </r>
  <r>
    <n v="19"/>
    <x v="0"/>
    <s v="T2"/>
    <d v="2019-04-01T00:00:00"/>
    <n v="14930"/>
    <n v="14693"/>
    <n v="29623"/>
    <n v="0.50400027006042603"/>
    <n v="0.49599972993957397"/>
    <n v="15000.041666666666"/>
    <n v="14829.833333333334"/>
    <n v="29829.875"/>
    <n v="0.99533056852619861"/>
    <n v="0.99077310376605709"/>
    <n v="0.99306483852178395"/>
  </r>
  <r>
    <n v="19"/>
    <x v="1"/>
    <s v="T1"/>
    <d v="2019-03-01T00:00:00"/>
    <n v="11409"/>
    <n v="11192"/>
    <n v="22601"/>
    <n v="0.50480067253661343"/>
    <n v="0.49519932746338657"/>
    <n v="15513.166666666666"/>
    <n v="15371.541666666666"/>
    <n v="30884.708333333332"/>
    <n v="0.73543978770721652"/>
    <n v="0.72809873223516408"/>
    <n v="0.73178609155285856"/>
  </r>
  <r>
    <n v="19"/>
    <x v="2"/>
    <s v="T1"/>
    <d v="2019-02-01T00:00:00"/>
    <n v="9620"/>
    <n v="9718"/>
    <n v="19338"/>
    <n v="0.49746612886544628"/>
    <n v="0.50253387113455372"/>
    <n v="16403.333333333332"/>
    <n v="16327.125"/>
    <n v="32730.458333333332"/>
    <n v="0.58646616541353391"/>
    <n v="0.59520583078772293"/>
    <n v="0.59082582355120294"/>
  </r>
  <r>
    <n v="19"/>
    <x v="3"/>
    <s v="T1"/>
    <d v="2019-01-01T00:00:00"/>
    <n v="11167"/>
    <n v="10549"/>
    <n v="21716"/>
    <n v="0.51422913980475227"/>
    <n v="0.48577086019524773"/>
    <n v="17428.5"/>
    <n v="17357.333333333332"/>
    <n v="34785.833333333336"/>
    <n v="0.64073213414809083"/>
    <n v="0.60775464741127672"/>
    <n v="0.62427712430826721"/>
  </r>
  <r>
    <n v="18"/>
    <x v="4"/>
    <s v="T4"/>
    <d v="2018-12-01T00:00:00"/>
    <n v="16328"/>
    <n v="17518"/>
    <n v="33846"/>
    <n v="0.48242037463806653"/>
    <n v="0.51757962536193347"/>
    <n v="18256.5"/>
    <n v="18121.416666666668"/>
    <n v="36377.916666666664"/>
    <n v="0.8943663900528579"/>
    <n v="0.96670146281793634"/>
    <n v="0.93039962431420165"/>
  </r>
  <r>
    <n v="18"/>
    <x v="5"/>
    <s v="T4"/>
    <d v="2018-11-01T00:00:00"/>
    <n v="13971"/>
    <n v="13713"/>
    <n v="27684"/>
    <n v="0.50465973125270913"/>
    <n v="0.49534026874729087"/>
    <n v="18777.333333333332"/>
    <n v="18580.083333333332"/>
    <n v="37357.416666666664"/>
    <n v="0.74403536178371088"/>
    <n v="0.73804835823305426"/>
    <n v="0.74105766592532951"/>
  </r>
  <r>
    <n v="18"/>
    <x v="6"/>
    <s v="T4"/>
    <d v="2018-10-01T00:00:00"/>
    <n v="18515"/>
    <n v="18316"/>
    <n v="36831"/>
    <n v="0.50270152860362194"/>
    <n v="0.49729847139637806"/>
    <n v="19144.958333333332"/>
    <n v="18979.666666666668"/>
    <n v="38124.625"/>
    <n v="0.96709534059227953"/>
    <n v="0.96503275435114766"/>
    <n v="0.96606851870674137"/>
  </r>
  <r>
    <n v="18"/>
    <x v="7"/>
    <s v="T3"/>
    <d v="2018-09-01T00:00:00"/>
    <n v="25802"/>
    <n v="26692"/>
    <n v="52494"/>
    <n v="0.49152284070560442"/>
    <n v="0.50847715929439552"/>
    <n v="19635.166666666668"/>
    <n v="19450.666666666668"/>
    <n v="39085.833333333336"/>
    <n v="1.314070842281281"/>
    <n v="1.3722922950370167"/>
    <n v="1.3430441549581049"/>
  </r>
  <r>
    <n v="18"/>
    <x v="8"/>
    <s v="T3"/>
    <d v="2018-08-01T00:00:00"/>
    <n v="31972"/>
    <n v="32311"/>
    <n v="64283"/>
    <n v="0.49736322200270677"/>
    <n v="0.50263677799729323"/>
    <n v="20070.375"/>
    <n v="19809.75"/>
    <n v="39880.125"/>
    <n v="1.5929946500750485"/>
    <n v="1.6310655106702507"/>
    <n v="1.6119056798342533"/>
  </r>
  <r>
    <n v="18"/>
    <x v="9"/>
    <s v="T3"/>
    <d v="2018-07-01T00:00:00"/>
    <n v="31389"/>
    <n v="30522"/>
    <n v="61911"/>
    <n v="0.50700198672287644"/>
    <n v="0.49299801327712361"/>
    <n v="20330.666666666668"/>
    <n v="20041.166666666668"/>
    <n v="40371.833333333336"/>
    <n v="1.543923793284365"/>
    <n v="1.5229652299017853"/>
    <n v="1.5335196568564715"/>
  </r>
  <r>
    <n v="18"/>
    <x v="10"/>
    <s v="T2"/>
    <d v="2018-06-01T00:00:00"/>
    <n v="24899"/>
    <n v="22605"/>
    <n v="47504"/>
    <n v="0.52414533512967332"/>
    <n v="0.47585466487032668"/>
    <n v="20402.25"/>
    <n v="20077.666666666668"/>
    <n v="40479.916666666664"/>
    <n v="1.2204046122363954"/>
    <n v="1.1258778410505867"/>
    <n v="1.1735202024048963"/>
  </r>
  <r>
    <n v="18"/>
    <x v="11"/>
    <s v="T2"/>
    <d v="2018-05-01T00:00:00"/>
    <n v="17510"/>
    <n v="16982"/>
    <n v="34492"/>
    <n v="0.50765394874173719"/>
    <n v="0.49234605125826281"/>
    <n v="20306.708333333332"/>
    <n v="19974.583333333332"/>
    <n v="40281.291666666664"/>
    <n v="0.86227662861821119"/>
    <n v="0.85018043763950024"/>
    <n v="0.85627840053953919"/>
  </r>
  <r>
    <n v="18"/>
    <x v="0"/>
    <s v="T2"/>
    <d v="2018-04-01T00:00:00"/>
    <n v="19385"/>
    <n v="20583"/>
    <n v="39968"/>
    <n v="0.48501301040832667"/>
    <n v="0.51498698959167333"/>
    <n v="20222.25"/>
    <n v="19891.541666666668"/>
    <n v="40113.791666666664"/>
    <n v="0.95859758434397757"/>
    <n v="1.0347614249775343"/>
    <n v="0.99636554759325302"/>
  </r>
  <r>
    <n v="18"/>
    <x v="1"/>
    <s v="T1"/>
    <d v="2018-03-01T00:00:00"/>
    <n v="18719"/>
    <n v="16606"/>
    <n v="35325"/>
    <n v="0.52990799716914372"/>
    <n v="0.47009200283085634"/>
    <n v="19958.5"/>
    <n v="19636.125"/>
    <n v="39594.625"/>
    <n v="0.93789613447904396"/>
    <n v="0.84568620336242517"/>
    <n v="0.89216655038404835"/>
  </r>
  <r>
    <n v="18"/>
    <x v="2"/>
    <s v="T1"/>
    <d v="2018-02-01T00:00:00"/>
    <n v="12755"/>
    <n v="12922"/>
    <n v="25677"/>
    <n v="0.4967480624683569"/>
    <n v="0.5032519375316431"/>
    <n v="19472"/>
    <n v="19179.458333333332"/>
    <n v="38651.458333333336"/>
    <n v="0.65504313886606413"/>
    <n v="0.6737416550258849"/>
    <n v="0.6643216351258846"/>
  </r>
  <r>
    <n v="18"/>
    <x v="3"/>
    <s v="T1"/>
    <d v="2018-01-01T00:00:00"/>
    <n v="14279"/>
    <n v="12899"/>
    <n v="27178"/>
    <n v="0.52538818161748468"/>
    <n v="0.47461181838251526"/>
    <n v="18958.25"/>
    <n v="18683.458333333332"/>
    <n v="37641.708333333336"/>
    <n v="0.75318133266519849"/>
    <n v="0.69039680822831251"/>
    <n v="0.72201823996209868"/>
  </r>
  <r>
    <n v="17"/>
    <x v="4"/>
    <s v="T4"/>
    <d v="2017-12-01T00:00:00"/>
    <n v="14934"/>
    <n v="16044"/>
    <n v="30978"/>
    <n v="0.48208405965523921"/>
    <n v="0.51791594034476085"/>
    <n v="18532.125"/>
    <n v="18271.5"/>
    <n v="36803.625"/>
    <n v="0.80584390618992696"/>
    <n v="0.87808882686150558"/>
    <n v="0.84171056519568388"/>
  </r>
  <r>
    <n v="17"/>
    <x v="5"/>
    <s v="T4"/>
    <d v="2017-11-01T00:00:00"/>
    <n v="13072"/>
    <n v="12713"/>
    <n v="25785"/>
    <n v="0.50696141167345354"/>
    <n v="0.49303858832654646"/>
    <n v="18306.25"/>
    <n v="18104.666666666668"/>
    <n v="36410.916666666664"/>
    <n v="0.71407306247866165"/>
    <n v="0.70219464594763781"/>
    <n v="0.70816673570884192"/>
  </r>
  <r>
    <n v="17"/>
    <x v="6"/>
    <s v="T4"/>
    <d v="2017-10-01T00:00:00"/>
    <n v="17387"/>
    <n v="17323"/>
    <n v="34710"/>
    <n v="0.50092192451743012"/>
    <n v="0.49907807548256988"/>
    <n v="18322.208333333332"/>
    <n v="18131.916666666668"/>
    <n v="36454.125"/>
    <n v="0.94895766294546924"/>
    <n v="0.95538713962028277"/>
    <n v="0.95215562024873723"/>
  </r>
  <r>
    <n v="17"/>
    <x v="7"/>
    <s v="T3"/>
    <d v="2017-09-01T00:00:00"/>
    <n v="20600"/>
    <n v="21555"/>
    <n v="42155"/>
    <n v="0.48867275530779269"/>
    <n v="0.51132724469220736"/>
    <n v="18413"/>
    <n v="18225.791666666668"/>
    <n v="36638.791666666664"/>
    <n v="1.1187747786889697"/>
    <n v="1.1826646762029083"/>
    <n v="1.1505565026139191"/>
  </r>
  <r>
    <n v="17"/>
    <x v="8"/>
    <s v="T3"/>
    <d v="2017-08-01T00:00:00"/>
    <n v="25498"/>
    <n v="26488"/>
    <n v="51986"/>
    <n v="0.49047820567075751"/>
    <n v="0.50952179432924249"/>
    <n v="18393.291666666668"/>
    <n v="18225.916666666668"/>
    <n v="36619.208333333336"/>
    <n v="1.386266279146156"/>
    <n v="1.4533151053216344"/>
    <n v="1.4196374625794066"/>
  </r>
  <r>
    <n v="17"/>
    <x v="9"/>
    <s v="T3"/>
    <d v="2017-07-01T00:00:00"/>
    <n v="25533"/>
    <n v="24441"/>
    <n v="49974"/>
    <n v="0.51092568135430427"/>
    <n v="0.48907431864569578"/>
    <n v="18317.208333333332"/>
    <n v="18152.125"/>
    <n v="36469.333333333336"/>
    <n v="1.3939351202080013"/>
    <n v="1.3464539275704634"/>
    <n v="1.3703019888856389"/>
  </r>
  <r>
    <n v="17"/>
    <x v="10"/>
    <s v="T2"/>
    <d v="2017-06-01T00:00:00"/>
    <n v="20528"/>
    <n v="18799"/>
    <n v="39327"/>
    <n v="0.52198235309075192"/>
    <n v="0.47801764690924808"/>
    <n v="18330.666666666668"/>
    <n v="18155.541666666668"/>
    <n v="36486.208333333336"/>
    <n v="1.1198719813791096"/>
    <n v="1.0354414285812641"/>
    <n v="1.0778593281251247"/>
  </r>
  <r>
    <n v="17"/>
    <x v="11"/>
    <s v="T2"/>
    <d v="2017-05-01T00:00:00"/>
    <n v="16460"/>
    <n v="16784"/>
    <n v="33244"/>
    <n v="0.4951269401997353"/>
    <n v="0.50487305980026476"/>
    <n v="18398.875"/>
    <n v="18181.208333333332"/>
    <n v="36580.083333333336"/>
    <n v="0.89461991561984089"/>
    <n v="0.92315096402191832"/>
    <n v="0.90880055403555204"/>
  </r>
  <r>
    <n v="17"/>
    <x v="0"/>
    <s v="T2"/>
    <d v="2017-04-01T00:00:00"/>
    <n v="20818"/>
    <n v="21435"/>
    <n v="42253"/>
    <n v="0.49269874328450053"/>
    <n v="0.50730125671549953"/>
    <n v="18387.166666666668"/>
    <n v="18134.666666666668"/>
    <n v="36521.833333333336"/>
    <n v="1.1322027138493334"/>
    <n v="1.1819902948312624"/>
    <n v="1.1569243968219922"/>
  </r>
  <r>
    <n v="17"/>
    <x v="1"/>
    <s v="T1"/>
    <d v="2017-03-01T00:00:00"/>
    <n v="19465"/>
    <n v="18007"/>
    <n v="37472"/>
    <n v="0.51945452604611442"/>
    <n v="0.48054547395388558"/>
    <n v="18236.333333333332"/>
    <n v="17951.958333333332"/>
    <n v="36188.291666666664"/>
    <n v="1.0673746549927801"/>
    <n v="1.0030660536106786"/>
    <n v="1.035473029375293"/>
  </r>
  <r>
    <n v="17"/>
    <x v="2"/>
    <s v="T1"/>
    <d v="2017-02-01T00:00:00"/>
    <n v="11536"/>
    <n v="11524"/>
    <n v="23060"/>
    <n v="0.50026019080659145"/>
    <n v="0.49973980919340849"/>
    <n v="18043.958333333332"/>
    <n v="17688.25"/>
    <n v="35732.208333333336"/>
    <n v="0.6393275680918129"/>
    <n v="0.65150594321088862"/>
    <n v="0.64535613877769005"/>
  </r>
  <r>
    <n v="17"/>
    <x v="3"/>
    <s v="T1"/>
    <d v="2017-01-01T00:00:00"/>
    <n v="13672"/>
    <n v="12526"/>
    <n v="26198"/>
    <n v="0.52187189861821515"/>
    <n v="0.47812810138178485"/>
    <n v="17849.583333333332"/>
    <n v="17456.791666666668"/>
    <n v="35306.375"/>
    <n v="0.76595625481453822"/>
    <n v="0.7175430765962626"/>
    <n v="0.74201896966199443"/>
  </r>
  <r>
    <n v="16"/>
    <x v="4"/>
    <s v="T4"/>
    <d v="2016-12-01T00:00:00"/>
    <n v="15864"/>
    <n v="16499"/>
    <n v="32363"/>
    <n v="0.49018941383678893"/>
    <n v="0.50981058616321107"/>
    <n v="17672.083333333332"/>
    <n v="17335.791666666668"/>
    <n v="35007.875"/>
    <n v="0.89768702992007177"/>
    <n v="0.95173040362064032"/>
    <n v="0.92444914180023785"/>
  </r>
  <r>
    <n v="16"/>
    <x v="5"/>
    <s v="T4"/>
    <d v="2016-11-01T00:00:00"/>
    <n v="13779"/>
    <n v="12874"/>
    <n v="26653"/>
    <n v="0.51697745094360859"/>
    <n v="0.48302254905639141"/>
    <n v="17614.916666666668"/>
    <n v="17310.5"/>
    <n v="34925.416666666664"/>
    <n v="0.78223475368887163"/>
    <n v="0.74371046474683"/>
    <n v="0.76314050178356263"/>
  </r>
  <r>
    <n v="16"/>
    <x v="6"/>
    <s v="T4"/>
    <d v="2016-10-01T00:00:00"/>
    <n v="16399"/>
    <n v="16045"/>
    <n v="32444"/>
    <n v="0.50545555418567378"/>
    <n v="0.49454444581432622"/>
    <n v="17500.5"/>
    <n v="17123.083333333332"/>
    <n v="34623.583333333336"/>
    <n v="0.93705894117310939"/>
    <n v="0.9370391820009053"/>
    <n v="0.93704916928009085"/>
  </r>
  <r>
    <n v="16"/>
    <x v="7"/>
    <s v="T3"/>
    <d v="2016-09-01T00:00:00"/>
    <n v="17968"/>
    <n v="18448"/>
    <n v="36416"/>
    <n v="0.49340949033391918"/>
    <n v="0.50659050966608088"/>
    <n v="17398.666666666668"/>
    <n v="17010.791666666668"/>
    <n v="34409.458333333336"/>
    <n v="1.0327228140087363"/>
    <n v="1.0844880333317819"/>
    <n v="1.0583136661794781"/>
  </r>
  <r>
    <n v="16"/>
    <x v="8"/>
    <s v="T3"/>
    <d v="2016-08-01T00:00:00"/>
    <n v="23513"/>
    <n v="23266"/>
    <n v="46779"/>
    <n v="0.50264007353727103"/>
    <n v="0.49735992646272903"/>
    <n v="17514.25"/>
    <n v="17161.625"/>
    <n v="34675.875"/>
    <n v="1.342506815878499"/>
    <n v="1.3556991252285258"/>
    <n v="1.3490358931101234"/>
  </r>
  <r>
    <n v="16"/>
    <x v="9"/>
    <s v="T3"/>
    <d v="2016-07-01T00:00:00"/>
    <n v="22853"/>
    <n v="22108"/>
    <n v="44961"/>
    <n v="0.50828495807477592"/>
    <n v="0.49171504192522408"/>
    <n v="17636.666666666668"/>
    <n v="17247.5"/>
    <n v="34884.166666666664"/>
    <n v="1.2957663957663956"/>
    <n v="1.2818089578199738"/>
    <n v="1.2888655311626576"/>
  </r>
  <r>
    <n v="16"/>
    <x v="10"/>
    <s v="T2"/>
    <d v="2016-06-01T00:00:00"/>
    <n v="18948"/>
    <n v="18228"/>
    <n v="37176"/>
    <n v="0.50968366688185929"/>
    <n v="0.49031633311814071"/>
    <n v="17659.75"/>
    <n v="17276.958333333332"/>
    <n v="34936.708333333336"/>
    <n v="1.0729483712963095"/>
    <n v="1.055046822960253"/>
    <n v="1.0640956682381593"/>
  </r>
  <r>
    <n v="16"/>
    <x v="11"/>
    <s v="T2"/>
    <d v="2016-05-01T00:00:00"/>
    <n v="16668"/>
    <n v="16748"/>
    <n v="33416"/>
    <n v="0.49880296863777829"/>
    <n v="0.50119703136222171"/>
    <n v="17599.083333333332"/>
    <n v="17230.916666666668"/>
    <n v="34830"/>
    <n v="0.94709478239870459"/>
    <n v="0.97197382611681515"/>
    <n v="0.95940281366637958"/>
  </r>
  <r>
    <n v="16"/>
    <x v="0"/>
    <s v="T2"/>
    <d v="2016-04-01T00:00:00"/>
    <n v="17864"/>
    <n v="16973"/>
    <n v="34837"/>
    <n v="0.51278812756551939"/>
    <n v="0.48721187243448061"/>
    <n v="17556.875"/>
    <n v="17173.666666666668"/>
    <n v="34730.541666666664"/>
    <n v="1.017493147271368"/>
    <n v="0.98831544418780681"/>
    <n v="1.0030652655623713"/>
  </r>
  <r>
    <n v="16"/>
    <x v="1"/>
    <s v="T1"/>
    <d v="2016-03-01T00:00:00"/>
    <n v="19975"/>
    <n v="19774"/>
    <n v="39749"/>
    <n v="0.50252836549347157"/>
    <n v="0.49747163450652848"/>
    <n v="17661.541666666668"/>
    <n v="17285.333333333332"/>
    <n v="34946.875"/>
    <n v="1.1309884707120226"/>
    <n v="1.1439756248071584"/>
    <n v="1.137412143431995"/>
  </r>
  <r>
    <n v="16"/>
    <x v="2"/>
    <s v="T1"/>
    <d v="2016-02-01T00:00:00"/>
    <n v="13800"/>
    <n v="13377"/>
    <n v="27177"/>
    <n v="0.50778231592891043"/>
    <n v="0.49221768407108951"/>
    <n v="17804.291666666668"/>
    <n v="17441.166666666668"/>
    <n v="35245.458333333336"/>
    <n v="0.77509401993433225"/>
    <n v="0.76697850870067941"/>
    <n v="0.77107807034239628"/>
  </r>
  <r>
    <n v="16"/>
    <x v="3"/>
    <s v="T1"/>
    <d v="2016-01-01T00:00:00"/>
    <n v="14346"/>
    <n v="12734"/>
    <n v="27080"/>
    <n v="0.52976366322008861"/>
    <n v="0.47023633677991139"/>
    <n v="17902.833333333332"/>
    <n v="17550.041666666668"/>
    <n v="35452.875"/>
    <n v="0.80132567470698313"/>
    <n v="0.72558232292895786"/>
    <n v="0.76383085997962086"/>
  </r>
  <r>
    <n v="15"/>
    <x v="4"/>
    <s v="T4"/>
    <d v="2015-12-01T00:00:00"/>
    <n v="15744"/>
    <n v="16998"/>
    <n v="32742"/>
    <n v="0.48085028403884916"/>
    <n v="0.51914971596115078"/>
    <n v="17930.833333333332"/>
    <n v="17558.583333333332"/>
    <n v="35489.416666666664"/>
    <n v="0.87804061904540598"/>
    <n v="0.96807354427796477"/>
    <n v="0.92258490207174448"/>
  </r>
  <r>
    <n v="15"/>
    <x v="5"/>
    <s v="T4"/>
    <d v="2015-11-01T00:00:00"/>
    <n v="12443"/>
    <n v="11270"/>
    <n v="23713"/>
    <n v="0.52473326867119297"/>
    <n v="0.47526673132880698"/>
    <n v="17846.333333333332"/>
    <n v="17444.833333333332"/>
    <n v="35291.166666666664"/>
    <n v="0.69723005659425841"/>
    <n v="0.64603655332524434"/>
    <n v="0.6719245136885057"/>
  </r>
  <r>
    <n v="15"/>
    <x v="6"/>
    <s v="T4"/>
    <d v="2015-10-01T00:00:00"/>
    <n v="16722"/>
    <n v="16275"/>
    <n v="32997"/>
    <n v="0.5067733430311846"/>
    <n v="0.49322665696881535"/>
    <n v="17851.5"/>
    <n v="17479.625"/>
    <n v="35331.125"/>
    <n v="0.9367280060499118"/>
    <n v="0.93108404785571774"/>
    <n v="0.9339357294736581"/>
  </r>
  <r>
    <n v="15"/>
    <x v="7"/>
    <s v="T3"/>
    <d v="2015-09-01T00:00:00"/>
    <n v="20157"/>
    <n v="20898"/>
    <n v="41055"/>
    <n v="0.49097552064303984"/>
    <n v="0.50902447935696016"/>
    <n v="17855.625"/>
    <n v="17483.458333333332"/>
    <n v="35339.083333333336"/>
    <n v="1.1288879554762155"/>
    <n v="1.1953012728698318"/>
    <n v="1.161744904720694"/>
  </r>
  <r>
    <n v="15"/>
    <x v="8"/>
    <s v="T3"/>
    <d v="2015-08-01T00:00:00"/>
    <n v="24750"/>
    <n v="24556"/>
    <n v="49306"/>
    <n v="0.50196730621019758"/>
    <n v="0.49803269378980247"/>
    <n v="17837"/>
    <n v="17444.875"/>
    <n v="35281.875"/>
    <n v="1.3875651735157257"/>
    <n v="1.4076340472488338"/>
    <n v="1.3974880870135162"/>
  </r>
  <r>
    <n v="15"/>
    <x v="9"/>
    <s v="T3"/>
    <d v="2015-07-01T00:00:00"/>
    <n v="23981"/>
    <n v="23431"/>
    <n v="47412"/>
    <n v="0.50580021935375008"/>
    <n v="0.49419978064624992"/>
    <n v="17877.125"/>
    <n v="17485.541666666668"/>
    <n v="35362.666666666664"/>
    <n v="1.3414349343085088"/>
    <n v="1.3400213986317266"/>
    <n v="1.340735992760727"/>
  </r>
  <r>
    <n v="15"/>
    <x v="10"/>
    <s v="T2"/>
    <d v="2015-06-01T00:00:00"/>
    <n v="18492"/>
    <n v="17110"/>
    <n v="35602"/>
    <n v="0.51940902196505812"/>
    <n v="0.48059097803494188"/>
    <n v="17894.291666666668"/>
    <n v="17461.875"/>
    <n v="35356.166666666664"/>
    <n v="1.0334021790002863"/>
    <n v="0.97984895665557104"/>
    <n v="1.006953053922701"/>
  </r>
  <r>
    <n v="15"/>
    <x v="11"/>
    <s v="T2"/>
    <d v="2015-05-01T00:00:00"/>
    <n v="15096"/>
    <n v="15136"/>
    <n v="30232"/>
    <n v="0.49933844932521831"/>
    <n v="0.50066155067478169"/>
    <n v="18055.375"/>
    <n v="17603.666666666668"/>
    <n v="35659.041666666664"/>
    <n v="0.83609451479130181"/>
    <n v="0.85982087065194746"/>
    <n v="0.84780741677251104"/>
  </r>
  <r>
    <n v="15"/>
    <x v="0"/>
    <s v="T2"/>
    <d v="2015-04-01T00:00:00"/>
    <n v="19560"/>
    <n v="19420"/>
    <n v="38980"/>
    <n v="0.50179579271421237"/>
    <n v="0.49820420728578757"/>
    <n v="18207.125"/>
    <n v="17766.958333333332"/>
    <n v="35974.083333333336"/>
    <n v="1.074304702142705"/>
    <n v="1.0930402174448357"/>
    <n v="1.0835578390924947"/>
  </r>
  <r>
    <n v="15"/>
    <x v="1"/>
    <s v="T1"/>
    <d v="2015-03-01T00:00:00"/>
    <n v="18378"/>
    <n v="17419"/>
    <n v="35797"/>
    <n v="0.51339497723272898"/>
    <n v="0.48660502276727102"/>
    <n v="18157.916666666668"/>
    <n v="17717.25"/>
    <n v="35875.166666666664"/>
    <n v="1.0121205167626608"/>
    <n v="0.98316612341080023"/>
    <n v="0.99782114833380575"/>
  </r>
  <r>
    <n v="15"/>
    <x v="2"/>
    <s v="T1"/>
    <d v="2015-02-01T00:00:00"/>
    <n v="14950"/>
    <n v="14806"/>
    <n v="29756"/>
    <n v="0.50241968006452475"/>
    <n v="0.49758031993547519"/>
    <n v="18006.875"/>
    <n v="17580.916666666668"/>
    <n v="35587.791666666664"/>
    <n v="0.83023845059178791"/>
    <n v="0.84216314090562205"/>
    <n v="0.8361294310900157"/>
  </r>
  <r>
    <n v="15"/>
    <x v="3"/>
    <s v="T1"/>
    <d v="2015-01-01T00:00:00"/>
    <n v="14159"/>
    <n v="12281"/>
    <n v="26440"/>
    <n v="0.53551437216338882"/>
    <n v="0.46448562783661118"/>
    <n v="17935.125"/>
    <n v="17541.458333333332"/>
    <n v="35476.583333333336"/>
    <n v="0.78945644371031709"/>
    <n v="0.70011282794332474"/>
    <n v="0.7452803374996182"/>
  </r>
  <r>
    <n v="14"/>
    <x v="4"/>
    <s v="T4"/>
    <d v="2014-12-01T00:00:00"/>
    <n v="16343"/>
    <n v="16883"/>
    <n v="33226"/>
    <n v="0.49187383374465782"/>
    <n v="0.50812616625534224"/>
    <n v="17897.541666666668"/>
    <n v="17499.375"/>
    <n v="35396.916666666664"/>
    <n v="0.91314216803518167"/>
    <n v="0.96477731347548124"/>
    <n v="0.93866932854321117"/>
  </r>
  <r>
    <n v="14"/>
    <x v="5"/>
    <s v="T4"/>
    <d v="2014-11-01T00:00:00"/>
    <n v="15710"/>
    <n v="14788"/>
    <n v="30498"/>
    <n v="0.51511574529477344"/>
    <n v="0.48488425470522656"/>
    <n v="17839.666666666668"/>
    <n v="17429.416666666668"/>
    <n v="35269.083333333336"/>
    <n v="0.88062183523608428"/>
    <n v="0.84845065574005629"/>
    <n v="0.86472335307835702"/>
  </r>
  <r>
    <n v="14"/>
    <x v="6"/>
    <s v="T4"/>
    <d v="2014-10-01T00:00:00"/>
    <n v="17097"/>
    <n v="16676"/>
    <n v="33773"/>
    <n v="0.50623278950641049"/>
    <n v="0.49376721049358957"/>
    <n v="17767.291666666668"/>
    <n v="17376.625"/>
    <n v="35143.916666666664"/>
    <n v="0.96227384121102677"/>
    <n v="0.9596800299252588"/>
    <n v="0.96099135222549192"/>
  </r>
  <r>
    <n v="14"/>
    <x v="7"/>
    <s v="T3"/>
    <d v="2014-09-01T00:00:00"/>
    <n v="18601"/>
    <n v="19304"/>
    <n v="37905"/>
    <n v="0.49072681704260651"/>
    <n v="0.50927318295739343"/>
    <n v="17672.083333333332"/>
    <n v="17321.541666666668"/>
    <n v="34993.625"/>
    <n v="1.0525640723363121"/>
    <n v="1.1144504554781256"/>
    <n v="1.0831972966504613"/>
  </r>
  <r>
    <n v="14"/>
    <x v="8"/>
    <s v="T3"/>
    <d v="2014-08-01T00:00:00"/>
    <n v="22681"/>
    <n v="22878"/>
    <n v="45559"/>
    <n v="0.49783796834873462"/>
    <n v="0.50216203165126538"/>
    <n v="17608.958333333332"/>
    <n v="17281.208333333332"/>
    <n v="34890.166666666664"/>
    <n v="1.2880375755711464"/>
    <n v="1.3238657597727783"/>
    <n v="1.3057833869141737"/>
  </r>
  <r>
    <n v="14"/>
    <x v="9"/>
    <s v="T3"/>
    <d v="2014-07-01T00:00:00"/>
    <n v="24328"/>
    <n v="24162"/>
    <n v="48490"/>
    <n v="0.50171169313260466"/>
    <n v="0.49828830686739534"/>
    <n v="17558.541666666668"/>
    <n v="17218.125"/>
    <n v="34776.666666666664"/>
    <n v="1.3855364791590037"/>
    <n v="1.4032886856147229"/>
    <n v="1.3943256973066234"/>
  </r>
  <r>
    <n v="14"/>
    <x v="10"/>
    <s v="T2"/>
    <d v="2014-06-01T00:00:00"/>
    <n v="17243"/>
    <n v="15369"/>
    <n v="32612"/>
    <n v="0.52873175518214155"/>
    <n v="0.47126824481785845"/>
    <n v="17491.708333333332"/>
    <n v="17191.416666666668"/>
    <n v="34683.125"/>
    <n v="0.98578135831024705"/>
    <n v="0.8939926416768057"/>
    <n v="0.94028436018957351"/>
  </r>
  <r>
    <n v="14"/>
    <x v="11"/>
    <s v="T2"/>
    <d v="2014-05-01T00:00:00"/>
    <n v="14956"/>
    <n v="15198"/>
    <n v="30154"/>
    <n v="0.49598726537109505"/>
    <n v="0.50401273462890495"/>
    <n v="17469.208333333332"/>
    <n v="17210.375"/>
    <n v="34679.583333333336"/>
    <n v="0.85613496127710431"/>
    <n v="0.88307198419557975"/>
    <n v="0.86950294962213592"/>
  </r>
  <r>
    <n v="14"/>
    <x v="0"/>
    <s v="T2"/>
    <d v="2014-04-01T00:00:00"/>
    <n v="17963"/>
    <n v="18091"/>
    <n v="36054"/>
    <n v="0.49822488489487993"/>
    <n v="0.50177511510512007"/>
    <n v="17450.458333333332"/>
    <n v="17211.083333333332"/>
    <n v="34661.541666666664"/>
    <n v="1.0293712438307494"/>
    <n v="1.0511250018156906"/>
    <n v="1.04017300634589"/>
  </r>
  <r>
    <n v="14"/>
    <x v="1"/>
    <s v="T1"/>
    <d v="2014-03-01T00:00:00"/>
    <n v="17690"/>
    <n v="17426"/>
    <n v="35116"/>
    <n v="0.50375897026996241"/>
    <n v="0.49624102973003759"/>
    <n v="17405.375"/>
    <n v="17202.416666666668"/>
    <n v="34607.791666666664"/>
    <n v="1.0163527071378813"/>
    <n v="1.0129972048500937"/>
    <n v="1.0146847952110978"/>
  </r>
  <r>
    <n v="14"/>
    <x v="2"/>
    <s v="T1"/>
    <d v="2014-02-01T00:00:00"/>
    <n v="14123"/>
    <n v="13831"/>
    <n v="27954"/>
    <n v="0.50522286613722545"/>
    <n v="0.49477713386277455"/>
    <n v="17520.333333333332"/>
    <n v="17304.625"/>
    <n v="34824.958333333336"/>
    <n v="0.80609196933087279"/>
    <n v="0.79926609215744349"/>
    <n v="0.80270017073482969"/>
  </r>
  <r>
    <n v="14"/>
    <x v="3"/>
    <s v="T1"/>
    <d v="2014-01-01T00:00:00"/>
    <n v="13776"/>
    <n v="11742"/>
    <n v="25518"/>
    <n v="0.53985422055019983"/>
    <n v="0.46014577944980012"/>
    <n v="17606.375"/>
    <n v="17364.083333333332"/>
    <n v="34970.458333333336"/>
    <n v="0.78244385911353131"/>
    <n v="0.67622343054869016"/>
    <n v="0.72970161719832571"/>
  </r>
  <r>
    <n v="13"/>
    <x v="4"/>
    <s v="T4"/>
    <d v="2013-12-01T00:00:00"/>
    <n v="15122"/>
    <n v="16781"/>
    <n v="31903"/>
    <n v="0.47399931040967935"/>
    <n v="0.52600068959032065"/>
    <n v="17653.375"/>
    <n v="17443.25"/>
    <n v="35096.625"/>
    <n v="0.85660673950448574"/>
    <n v="0.96203402462270504"/>
    <n v="0.90900478322345812"/>
  </r>
  <r>
    <n v="13"/>
    <x v="5"/>
    <s v="T4"/>
    <d v="2013-11-01T00:00:00"/>
    <n v="16391"/>
    <n v="15345"/>
    <n v="31736"/>
    <n v="0.51647970758759765"/>
    <n v="0.4835202924124023"/>
    <n v="17797.458333333332"/>
    <n v="17646.583333333332"/>
    <n v="35444.041666666664"/>
    <n v="0.92097420277708197"/>
    <n v="0.86957343017297972"/>
    <n v="0.89538321556161893"/>
  </r>
  <r>
    <n v="13"/>
    <x v="6"/>
    <s v="T4"/>
    <d v="2013-10-01T00:00:00"/>
    <n v="15966"/>
    <n v="16136"/>
    <n v="32102"/>
    <n v="0.49735218989471058"/>
    <n v="0.50264781010528936"/>
    <n v="17960.416666666668"/>
    <n v="17862.916666666668"/>
    <n v="35823.333333333336"/>
    <n v="0.8889548776244055"/>
    <n v="0.9033239252641645"/>
    <n v="0.89611984739927419"/>
  </r>
  <r>
    <n v="13"/>
    <x v="7"/>
    <s v="T3"/>
    <d v="2013-09-01T00:00:00"/>
    <n v="18650"/>
    <n v="19636"/>
    <n v="38286"/>
    <n v="0.48712323042365357"/>
    <n v="0.51287676957634643"/>
    <n v="18262.791666666668"/>
    <n v="18173.25"/>
    <n v="36436.041666666664"/>
    <n v="1.0212020341906471"/>
    <n v="1.080489180526323"/>
    <n v="1.0507727582007285"/>
  </r>
  <r>
    <n v="13"/>
    <x v="8"/>
    <s v="T3"/>
    <d v="2013-08-01T00:00:00"/>
    <n v="25391"/>
    <n v="24999"/>
    <n v="50390"/>
    <n v="0.50388966064695373"/>
    <n v="0.49611033935304621"/>
    <n v="18599.416666666668"/>
    <n v="18497.708333333332"/>
    <n v="37097.125"/>
    <n v="1.3651503407364924"/>
    <n v="1.3514647084661389"/>
    <n v="1.358326285392736"/>
  </r>
  <r>
    <n v="13"/>
    <x v="9"/>
    <s v="T3"/>
    <d v="2013-07-01T00:00:00"/>
    <n v="23683"/>
    <n v="23468"/>
    <n v="47151"/>
    <n v="0.50227990922780008"/>
    <n v="0.49772009077219997"/>
    <n v="18930.875"/>
    <n v="18838.208333333332"/>
    <n v="37769.083333333336"/>
    <n v="1.2510251110949706"/>
    <n v="1.245766029589686"/>
    <n v="1.2484020219359309"/>
  </r>
  <r>
    <n v="13"/>
    <x v="10"/>
    <s v="T2"/>
    <d v="2013-06-01T00:00:00"/>
    <n v="19016"/>
    <n v="17963"/>
    <n v="36979"/>
    <n v="0.51423781064928742"/>
    <n v="0.48576218935071258"/>
    <n v="19263.625"/>
    <n v="19177.416666666668"/>
    <n v="38441.041666666664"/>
    <n v="0.98714546197821018"/>
    <n v="0.93667464769759567"/>
    <n v="0.96196664805952847"/>
  </r>
  <r>
    <n v="13"/>
    <x v="11"/>
    <s v="T2"/>
    <d v="2013-05-01T00:00:00"/>
    <n v="16641"/>
    <n v="17484"/>
    <n v="34125"/>
    <n v="0.48764835164835163"/>
    <n v="0.51235164835164837"/>
    <n v="19515.875"/>
    <n v="19432"/>
    <n v="38947.875"/>
    <n v="0.85269043791272492"/>
    <n v="0.89975298476739396"/>
    <n v="0.87617103628888615"/>
  </r>
  <r>
    <n v="13"/>
    <x v="0"/>
    <s v="T2"/>
    <d v="2013-04-01T00:00:00"/>
    <n v="20189"/>
    <n v="20997"/>
    <n v="41186"/>
    <n v="0.49019084154809889"/>
    <n v="0.50980915845190111"/>
    <n v="20011.166666666668"/>
    <n v="19964.25"/>
    <n v="39975.416666666664"/>
    <n v="1.0088867049230845"/>
    <n v="1.0517299673165783"/>
    <n v="1.0302831948801869"/>
  </r>
  <r>
    <n v="13"/>
    <x v="1"/>
    <s v="T1"/>
    <d v="2013-03-01T00:00:00"/>
    <n v="22721"/>
    <n v="21968"/>
    <n v="44689"/>
    <n v="0.50842489203159613"/>
    <n v="0.49157510796840387"/>
    <n v="20507.208333333332"/>
    <n v="20521.166666666668"/>
    <n v="41028.375"/>
    <n v="1.1079518787093157"/>
    <n v="1.0705044385065825"/>
    <n v="1.0892217885792455"/>
  </r>
  <r>
    <n v="13"/>
    <x v="2"/>
    <s v="T1"/>
    <d v="2013-02-01T00:00:00"/>
    <n v="17171"/>
    <n v="17076"/>
    <n v="34247"/>
    <n v="0.50138698280141325"/>
    <n v="0.49861301719858675"/>
    <n v="20769.833333333332"/>
    <n v="20841.25"/>
    <n v="41611.083333333336"/>
    <n v="0.82672786653720542"/>
    <n v="0.81933665207221251"/>
    <n v="0.82302591657270796"/>
  </r>
  <r>
    <n v="13"/>
    <x v="3"/>
    <s v="T1"/>
    <d v="2013-01-01T00:00:00"/>
    <n v="18683"/>
    <n v="16669"/>
    <n v="35352"/>
    <n v="0.52848495134645845"/>
    <n v="0.47151504865354155"/>
    <n v="21081.166666666668"/>
    <n v="21173.625"/>
    <n v="42254.791666666664"/>
    <n v="0.88624127380679429"/>
    <n v="0.78725300934535303"/>
    <n v="0.83663884273479838"/>
  </r>
  <r>
    <n v="12"/>
    <x v="4"/>
    <s v="T4"/>
    <d v="2012-12-01T00:00:00"/>
    <n v="18201"/>
    <n v="19995"/>
    <n v="38196"/>
    <n v="0.47651586553565817"/>
    <n v="0.52348413446434183"/>
    <n v="21357.541666666668"/>
    <n v="21462.916666666668"/>
    <n v="42820.458333333336"/>
    <n v="0.85220482226223748"/>
    <n v="0.93160684125720716"/>
    <n v="0.89200353024401302"/>
  </r>
  <r>
    <n v="12"/>
    <x v="5"/>
    <s v="T4"/>
    <d v="2012-11-01T00:00:00"/>
    <n v="19366"/>
    <n v="18241"/>
    <n v="37607"/>
    <n v="0.51495732177520137"/>
    <n v="0.48504267822479857"/>
    <n v="21546.708333333332"/>
    <n v="21660.25"/>
    <n v="43206.958333333336"/>
    <n v="0.89879157876009685"/>
    <n v="0.84214171119908587"/>
    <n v="0.87039221113111598"/>
  </r>
  <r>
    <n v="12"/>
    <x v="6"/>
    <s v="T4"/>
    <d v="2012-10-01T00:00:00"/>
    <n v="24878"/>
    <n v="26014"/>
    <n v="50892"/>
    <n v="0.48883911027273441"/>
    <n v="0.51116088972726559"/>
    <n v="21774.958333333332"/>
    <n v="21875.5"/>
    <n v="43650.458333333336"/>
    <n v="1.1425050564582022"/>
    <n v="1.1891842472172065"/>
    <n v="1.1658984107650645"/>
  </r>
  <r>
    <n v="12"/>
    <x v="7"/>
    <s v="T3"/>
    <d v="2012-09-01T00:00:00"/>
    <n v="21643"/>
    <n v="23124"/>
    <n v="44767"/>
    <n v="0.48345879777514689"/>
    <n v="0.51654120222485311"/>
    <n v="22043.291666666668"/>
    <n v="22166.291666666668"/>
    <n v="44209.583333333336"/>
    <n v="0.98184065825014788"/>
    <n v="1.0432056181401566"/>
    <n v="1.0126085030583489"/>
  </r>
  <r>
    <n v="12"/>
    <x v="8"/>
    <s v="T3"/>
    <d v="2012-08-01T00:00:00"/>
    <n v="28701"/>
    <n v="29193"/>
    <n v="57894"/>
    <n v="0.49575085501088195"/>
    <n v="0.50424914498911799"/>
    <n v="22387.25"/>
    <n v="22506.416666666668"/>
    <n v="44893.666666666664"/>
    <n v="1.2820243665479234"/>
    <n v="1.2970967538887057"/>
    <n v="1.2895805644448735"/>
  </r>
  <r>
    <n v="12"/>
    <x v="9"/>
    <s v="T3"/>
    <d v="2012-07-01T00:00:00"/>
    <n v="27845"/>
    <n v="27251"/>
    <n v="55096"/>
    <n v="0.50539059096849137"/>
    <n v="0.49460940903150863"/>
    <n v="22714.541666666668"/>
    <n v="22858.041666666668"/>
    <n v="45572.583333333336"/>
    <n v="1.2258666896573229"/>
    <n v="1.1921843698333736"/>
    <n v="1.2089724999131422"/>
  </r>
  <r>
    <n v="12"/>
    <x v="10"/>
    <s v="T2"/>
    <d v="2012-06-01T00:00:00"/>
    <n v="21487"/>
    <n v="21123"/>
    <n v="42610"/>
    <n v="0.50427129781741376"/>
    <n v="0.49572870218258624"/>
    <n v="23054.208333333332"/>
    <n v="23246.958333333332"/>
    <n v="46301.166666666664"/>
    <n v="0.93202072651233236"/>
    <n v="0.908635000636284"/>
    <n v="0.92027918662956665"/>
  </r>
  <r>
    <n v="12"/>
    <x v="11"/>
    <s v="T2"/>
    <d v="2012-05-01T00:00:00"/>
    <n v="18710"/>
    <n v="19060"/>
    <n v="37770"/>
    <n v="0.49536669314270587"/>
    <n v="0.50463330685729413"/>
    <n v="23510.083333333332"/>
    <n v="23720.708333333332"/>
    <n v="47230.791666666664"/>
    <n v="0.79582874015050287"/>
    <n v="0.80351732048473823"/>
    <n v="0.79969017387138863"/>
  </r>
  <r>
    <n v="12"/>
    <x v="0"/>
    <s v="T2"/>
    <d v="2012-04-01T00:00:00"/>
    <n v="23598"/>
    <n v="24587"/>
    <n v="48185"/>
    <n v="0.48973747016706443"/>
    <n v="0.51026252983293552"/>
    <n v="24012.833333333332"/>
    <n v="24169.375"/>
    <n v="48182.208333333336"/>
    <n v="0.98272451536331273"/>
    <n v="1.0172790980321171"/>
    <n v="1.0000579397824059"/>
  </r>
  <r>
    <n v="12"/>
    <x v="1"/>
    <s v="T1"/>
    <d v="2012-03-01T00:00:00"/>
    <n v="25752"/>
    <n v="25357"/>
    <n v="51109"/>
    <n v="0.50386429004676281"/>
    <n v="0.49613570995323719"/>
    <n v="24697.541666666668"/>
    <n v="24813.083333333332"/>
    <n v="49510.625"/>
    <n v="1.0426948701034684"/>
    <n v="1.0219205593823151"/>
    <n v="1.0322834745067346"/>
  </r>
  <r>
    <n v="12"/>
    <x v="2"/>
    <s v="T1"/>
    <d v="2012-02-01T00:00:00"/>
    <n v="22395"/>
    <n v="21850"/>
    <n v="44245"/>
    <n v="0.50615888800994457"/>
    <n v="0.49384111199005537"/>
    <n v="25641.125"/>
    <n v="25798.541666666668"/>
    <n v="51439.666666666664"/>
    <n v="0.87340161556873963"/>
    <n v="0.84694709810793567"/>
    <n v="0.86013387852435541"/>
  </r>
  <r>
    <n v="12"/>
    <x v="3"/>
    <s v="T1"/>
    <d v="2012-01-01T00:00:00"/>
    <n v="21314"/>
    <n v="20334"/>
    <n v="41648"/>
    <n v="0.51176527084133694"/>
    <n v="0.48823472915866306"/>
    <n v="26674.166666666668"/>
    <n v="26854.458333333332"/>
    <n v="53528.625"/>
    <n v="0.79905026711237459"/>
    <n v="0.7571927069837876"/>
    <n v="0.77805099607920059"/>
  </r>
  <r>
    <n v="11"/>
    <x v="4"/>
    <s v="T4"/>
    <d v="2011-12-01T00:00:00"/>
    <n v="23722"/>
    <n v="25664"/>
    <n v="49386"/>
    <n v="0.48033855748592719"/>
    <n v="0.51966144251407287"/>
    <n v="27632.208333333332"/>
    <n v="27752.666666666668"/>
    <n v="55384.875"/>
    <n v="0.85849092167503804"/>
    <n v="0.92473996492829513"/>
    <n v="0.89168748688157196"/>
  </r>
  <r>
    <n v="11"/>
    <x v="5"/>
    <s v="T4"/>
    <d v="2011-11-01T00:00:00"/>
    <n v="24786"/>
    <n v="23942"/>
    <n v="48728"/>
    <n v="0.50866031850270887"/>
    <n v="0.49133968149729107"/>
    <n v="28593.916666666668"/>
    <n v="28703.25"/>
    <n v="57297.166666666664"/>
    <n v="0.86682773433743188"/>
    <n v="0.83412157159903499"/>
    <n v="0.85044344833805052"/>
  </r>
  <r>
    <n v="11"/>
    <x v="6"/>
    <s v="T4"/>
    <d v="2011-10-01T00:00:00"/>
    <n v="31524"/>
    <n v="31081"/>
    <n v="62605"/>
    <n v="0.50353805606580948"/>
    <n v="0.49646194393419057"/>
    <n v="29650.541666666668"/>
    <n v="29749.625"/>
    <n v="59400.166666666664"/>
    <n v="1.0631846242269323"/>
    <n v="1.0447526649495582"/>
    <n v="1.0539532717360502"/>
  </r>
  <r>
    <n v="11"/>
    <x v="7"/>
    <s v="T3"/>
    <d v="2011-09-01T00:00:00"/>
    <n v="31430"/>
    <n v="33506"/>
    <n v="64936"/>
    <n v="0.48401503018356534"/>
    <n v="0.5159849698164346"/>
    <n v="30519.875"/>
    <n v="30544.916666666668"/>
    <n v="61064.791666666664"/>
    <n v="1.029820731572459"/>
    <n v="1.0969419352374508"/>
    <n v="1.0633950960557605"/>
  </r>
  <r>
    <n v="11"/>
    <x v="8"/>
    <s v="T3"/>
    <d v="2011-08-01T00:00:00"/>
    <n v="41560"/>
    <n v="42462"/>
    <n v="84022"/>
    <n v="0.4946323581919021"/>
    <n v="0.5053676418080979"/>
    <n v="31000.125"/>
    <n v="31026.458333333332"/>
    <n v="62026.583333333336"/>
    <n v="1.3406397554848568"/>
    <n v="1.3685738650479766"/>
    <n v="1.3546127399676751"/>
  </r>
  <r>
    <n v="11"/>
    <x v="9"/>
    <s v="T3"/>
    <d v="2011-07-01T00:00:00"/>
    <n v="39779"/>
    <n v="39324"/>
    <n v="79103"/>
    <n v="0.50287599711768205"/>
    <n v="0.49712400288231801"/>
    <n v="31227.958333333332"/>
    <n v="31229.208333333332"/>
    <n v="62457.166666666664"/>
    <n v="1.2738264722717758"/>
    <n v="1.259205791586669"/>
    <n v="1.2665159856221464"/>
  </r>
  <r>
    <n v="11"/>
    <x v="10"/>
    <s v="T2"/>
    <d v="2011-06-01T00:00:00"/>
    <n v="32546"/>
    <n v="30607"/>
    <n v="63153"/>
    <n v="0.51535160641616395"/>
    <n v="0.4846483935838361"/>
    <n v="31276.791666666668"/>
    <n v="31232.583333333332"/>
    <n v="62509.375"/>
    <n v="1.0405798761861498"/>
    <n v="0.97997017004143649"/>
    <n v="1.0102964555316702"/>
  </r>
  <r>
    <n v="11"/>
    <x v="11"/>
    <s v="T2"/>
    <d v="2011-05-01T00:00:00"/>
    <n v="30732"/>
    <n v="32390"/>
    <n v="63122"/>
    <n v="0.48686670257596398"/>
    <n v="0.51313329742403602"/>
    <n v="31394.583333333332"/>
    <n v="31336.75"/>
    <n v="62731.333333333336"/>
    <n v="0.97889497922943192"/>
    <n v="1.0336106967059444"/>
    <n v="1.0062276161833001"/>
  </r>
  <r>
    <n v="11"/>
    <x v="0"/>
    <s v="T2"/>
    <d v="2011-04-01T00:00:00"/>
    <n v="36935"/>
    <n v="36370"/>
    <n v="73305"/>
    <n v="0.50385376168064933"/>
    <n v="0.49614623831935067"/>
    <n v="31337.75"/>
    <n v="31305.958333333332"/>
    <n v="62643.708333333336"/>
    <n v="1.1786104618232005"/>
    <n v="1.1617596756740929"/>
    <n v="1.1701893446335725"/>
  </r>
  <r>
    <n v="11"/>
    <x v="1"/>
    <s v="T1"/>
    <d v="2011-03-01T00:00:00"/>
    <n v="33279"/>
    <n v="32661"/>
    <n v="65940"/>
    <n v="0.50468607825295719"/>
    <n v="0.49531392174704275"/>
    <n v="30997.458333333332"/>
    <n v="30978.458333333332"/>
    <n v="61975.916666666664"/>
    <n v="1.0736041530286757"/>
    <n v="1.0543132795235399"/>
    <n v="1.0639616732843806"/>
  </r>
  <r>
    <n v="11"/>
    <x v="2"/>
    <s v="T1"/>
    <d v="2011-02-01T00:00:00"/>
    <n v="26394"/>
    <n v="26103"/>
    <n v="52497"/>
    <n v="0.50277158694782564"/>
    <n v="0.49722841305217441"/>
    <n v="30806.666666666668"/>
    <n v="30746.166666666668"/>
    <n v="61552.833333333336"/>
    <n v="0.85676260549664573"/>
    <n v="0.84898388416984227"/>
    <n v="0.85287706766815496"/>
  </r>
  <r>
    <n v="11"/>
    <x v="3"/>
    <s v="T1"/>
    <d v="2011-01-01T00:00:00"/>
    <n v="22783"/>
    <n v="20947"/>
    <n v="43730"/>
    <n v="0.52099245369311686"/>
    <n v="0.47900754630688314"/>
    <n v="30679.541666666668"/>
    <n v="30556.375"/>
    <n v="61235.916666666664"/>
    <n v="0.74261213702399398"/>
    <n v="0.68551979742361457"/>
    <n v="0.7141233834718459"/>
  </r>
  <r>
    <n v="10"/>
    <x v="4"/>
    <s v="T4"/>
    <d v="2010-12-01T00:00:00"/>
    <n v="23425"/>
    <n v="25132"/>
    <n v="48557"/>
    <n v="0.4824227196902609"/>
    <n v="0.51757728030973904"/>
    <n v="30226.875"/>
    <n v="30093.333333333332"/>
    <n v="60320.208333333336"/>
    <n v="0.77497260302297211"/>
    <n v="0.83513513513513515"/>
    <n v="0.80498727278378923"/>
  </r>
  <r>
    <n v="10"/>
    <x v="5"/>
    <s v="T4"/>
    <d v="2010-11-01T00:00:00"/>
    <n v="27910"/>
    <n v="26974"/>
    <n v="54884"/>
    <n v="0.50852707528605789"/>
    <n v="0.49147292471394211"/>
    <n v="29422.333333333332"/>
    <n v="29268.875"/>
    <n v="58691.208333333336"/>
    <n v="0.94859913671020879"/>
    <n v="0.92159333079935601"/>
    <n v="0.93513153943414296"/>
  </r>
  <r>
    <n v="10"/>
    <x v="6"/>
    <s v="T4"/>
    <d v="2010-10-01T00:00:00"/>
    <n v="27036"/>
    <n v="27310"/>
    <n v="54346"/>
    <n v="0.49747911529827404"/>
    <n v="0.50252088470172596"/>
    <n v="28259.166666666668"/>
    <n v="28151.125"/>
    <n v="56410.291666666664"/>
    <n v="0.95671610981687349"/>
    <n v="0.97012108752314519"/>
    <n v="0.96340576150776269"/>
  </r>
  <r>
    <n v="10"/>
    <x v="7"/>
    <s v="T3"/>
    <d v="2010-09-01T00:00:00"/>
    <n v="27751"/>
    <n v="29417"/>
    <n v="57168"/>
    <n v="0.4854289112790372"/>
    <n v="0.5145710887209628"/>
    <n v="27095.291666666668"/>
    <n v="27046.583333333332"/>
    <n v="54141.875"/>
    <n v="1.0242000839629271"/>
    <n v="1.0876420003758946"/>
    <n v="1.0558925046463574"/>
  </r>
  <r>
    <n v="10"/>
    <x v="8"/>
    <s v="T3"/>
    <d v="2010-08-01T00:00:00"/>
    <n v="40660"/>
    <n v="40976"/>
    <n v="81636"/>
    <n v="0.49806457935224657"/>
    <n v="0.50193542064775343"/>
    <n v="26261.583333333332"/>
    <n v="26166.166666666668"/>
    <n v="52427.75"/>
    <n v="1.548269176458642"/>
    <n v="1.5659917068479015"/>
    <n v="1.5571143144613302"/>
  </r>
  <r>
    <n v="10"/>
    <x v="9"/>
    <s v="T3"/>
    <d v="2010-07-01T00:00:00"/>
    <n v="37628"/>
    <n v="36255"/>
    <n v="73883"/>
    <n v="0.50929171798654627"/>
    <n v="0.49070828201345368"/>
    <n v="25562"/>
    <n v="25485.333333333332"/>
    <n v="51047.333333333336"/>
    <n v="1.4720287927392224"/>
    <n v="1.4225829235115623"/>
    <n v="1.4473429888600122"/>
  </r>
  <r>
    <n v="10"/>
    <x v="10"/>
    <s v="T2"/>
    <d v="2010-06-01T00:00:00"/>
    <n v="23833"/>
    <n v="22563"/>
    <n v="46396"/>
    <n v="0.51368652470040521"/>
    <n v="0.48631347529959479"/>
    <n v="24996.958333333332"/>
    <n v="24965.875"/>
    <n v="49962.833333333336"/>
    <n v="0.95343600138016793"/>
    <n v="0.90375362369634549"/>
    <n v="0.92861026696511073"/>
  </r>
  <r>
    <n v="10"/>
    <x v="11"/>
    <s v="T2"/>
    <d v="2010-05-01T00:00:00"/>
    <n v="20136"/>
    <n v="20647"/>
    <n v="40783"/>
    <n v="0.49373513473751318"/>
    <n v="0.50626486526248682"/>
    <n v="24347.5"/>
    <n v="24349.625"/>
    <n v="48697.125"/>
    <n v="0.82702536194681175"/>
    <n v="0.84793913663968135"/>
    <n v="0.8374827056012033"/>
  </r>
  <r>
    <n v="10"/>
    <x v="0"/>
    <s v="T2"/>
    <d v="2010-04-01T00:00:00"/>
    <n v="19615"/>
    <n v="21287"/>
    <n v="40902"/>
    <n v="0.47956090166740012"/>
    <n v="0.52043909833259983"/>
    <n v="23683"/>
    <n v="23670.75"/>
    <n v="47353.75"/>
    <n v="0.82823122070683608"/>
    <n v="0.89929554407866252"/>
    <n v="0.86375419053401259"/>
  </r>
  <r>
    <n v="10"/>
    <x v="1"/>
    <s v="T1"/>
    <d v="2010-03-01T00:00:00"/>
    <n v="22666"/>
    <n v="21235"/>
    <n v="43901"/>
    <n v="0.51629803421334364"/>
    <n v="0.48370196578665636"/>
    <n v="23222.041666666668"/>
    <n v="23188.416666666668"/>
    <n v="46410.458333333336"/>
    <n v="0.97605543583771881"/>
    <n v="0.9157589457379941"/>
    <n v="0.9459290335960554"/>
  </r>
  <r>
    <n v="10"/>
    <x v="2"/>
    <s v="T1"/>
    <d v="2010-02-01T00:00:00"/>
    <n v="16998"/>
    <n v="16399"/>
    <n v="33397"/>
    <n v="0.50896787136569155"/>
    <n v="0.49103212863430845"/>
    <n v="22676.458333333332"/>
    <n v="22659.208333333332"/>
    <n v="45335.666666666664"/>
    <n v="0.74958795373322196"/>
    <n v="0.72372343105543924"/>
    <n v="0.73666061305668096"/>
  </r>
  <r>
    <n v="10"/>
    <x v="3"/>
    <s v="T1"/>
    <d v="2010-01-01T00:00:00"/>
    <n v="15389"/>
    <n v="14311"/>
    <n v="29700"/>
    <n v="0.51814814814814814"/>
    <n v="0.48185185185185186"/>
    <n v="22076.541666666668"/>
    <n v="22082.125"/>
    <n v="44158.666666666664"/>
    <n v="0.69707476072829944"/>
    <n v="0.6480807440407117"/>
    <n v="0.67257465503185487"/>
  </r>
  <r>
    <n v="9"/>
    <x v="4"/>
    <s v="T4"/>
    <d v="2009-12-01T00:00:00"/>
    <n v="17258"/>
    <n v="19301"/>
    <n v="36559"/>
    <n v="0.47205886375447909"/>
    <n v="0.52794113624552097"/>
    <n v="21768.625"/>
    <n v="21800.458333333332"/>
    <n v="43569.083333333336"/>
    <n v="0.79279237893987331"/>
    <n v="0.88534835850163707"/>
    <n v="0.83910418129063225"/>
  </r>
  <r>
    <n v="9"/>
    <x v="5"/>
    <s v="T4"/>
    <d v="2009-11-01T00:00:00"/>
    <n v="18490"/>
    <n v="18015"/>
    <n v="36505"/>
    <n v="0.50650595808793319"/>
    <n v="0.49349404191206686"/>
    <n v="21634"/>
    <n v="21693.916666666668"/>
    <n v="43327.916666666664"/>
    <n v="0.85467319959323285"/>
    <n v="0.83041712922593502"/>
    <n v="0.8425283929721985"/>
  </r>
  <r>
    <n v="9"/>
    <x v="6"/>
    <s v="T4"/>
    <d v="2009-10-01T00:00:00"/>
    <n v="20508"/>
    <n v="19976"/>
    <n v="40484"/>
    <n v="0.50657049698646384"/>
    <n v="0.49342950301353622"/>
    <n v="21731.5"/>
    <n v="21752.083333333332"/>
    <n v="43483.583333333336"/>
    <n v="0.94369923843268988"/>
    <n v="0.91834881716310701"/>
    <n v="0.93101802787642074"/>
  </r>
  <r>
    <n v="9"/>
    <x v="7"/>
    <s v="T3"/>
    <d v="2009-09-01T00:00:00"/>
    <n v="23216"/>
    <n v="25175"/>
    <n v="48391"/>
    <n v="0.47975863280362052"/>
    <n v="0.52024136719637948"/>
    <n v="21841.583333333332"/>
    <n v="21867.75"/>
    <n v="43709.333333333336"/>
    <n v="1.0629266040694547"/>
    <n v="1.1512386962536154"/>
    <n v="1.1071090842535538"/>
  </r>
  <r>
    <n v="9"/>
    <x v="8"/>
    <s v="T3"/>
    <d v="2009-08-01T00:00:00"/>
    <n v="32101"/>
    <n v="32517"/>
    <n v="64618"/>
    <n v="0.49678108267046334"/>
    <n v="0.50321891732953661"/>
    <n v="21861.583333333332"/>
    <n v="21972.666666666668"/>
    <n v="43834.25"/>
    <n v="1.4683748889795265"/>
    <n v="1.4798840984253163"/>
    <n v="1.474144076834895"/>
  </r>
  <r>
    <n v="9"/>
    <x v="9"/>
    <s v="T3"/>
    <d v="2009-07-01T00:00:00"/>
    <n v="31789"/>
    <n v="30864"/>
    <n v="62653"/>
    <n v="0.50738192903771562"/>
    <n v="0.49261807096228433"/>
    <n v="21981.291666666668"/>
    <n v="22079.541666666668"/>
    <n v="44060.833333333336"/>
    <n v="1.4461843499491043"/>
    <n v="1.3978551034234179"/>
    <n v="1.4219658426796284"/>
  </r>
  <r>
    <n v="9"/>
    <x v="10"/>
    <s v="T2"/>
    <d v="2009-06-01T00:00:00"/>
    <n v="22282"/>
    <n v="21194"/>
    <n v="43476"/>
    <n v="0.51251265065783425"/>
    <n v="0.48748734934216581"/>
    <n v="22056.583333333332"/>
    <n v="22121.5"/>
    <n v="44178.083333333336"/>
    <n v="1.0102199267792307"/>
    <n v="0.95807246344054431"/>
    <n v="0.98410788154759987"/>
  </r>
  <r>
    <n v="9"/>
    <x v="11"/>
    <s v="T2"/>
    <d v="2009-05-01T00:00:00"/>
    <n v="18456"/>
    <n v="19459"/>
    <n v="37915"/>
    <n v="0.48677304496900964"/>
    <n v="0.51322695503099036"/>
    <n v="22131.5"/>
    <n v="22184.833333333332"/>
    <n v="44316.333333333336"/>
    <n v="0.83392449675801461"/>
    <n v="0.87713077252477301"/>
    <n v="0.85555363334812595"/>
  </r>
  <r>
    <n v="9"/>
    <x v="0"/>
    <s v="T2"/>
    <d v="2009-04-01T00:00:00"/>
    <n v="23635"/>
    <n v="23871"/>
    <n v="47506"/>
    <n v="0.49751610322906581"/>
    <n v="0.50248389677093419"/>
    <n v="22239.541666666668"/>
    <n v="22310.25"/>
    <n v="44549.791666666664"/>
    <n v="1.0627467217737177"/>
    <n v="1.0699566342824487"/>
    <n v="1.0663573997259621"/>
  </r>
  <r>
    <n v="9"/>
    <x v="1"/>
    <s v="T1"/>
    <d v="2009-03-01T00:00:00"/>
    <n v="21288"/>
    <n v="21427"/>
    <n v="42715"/>
    <n v="0.49837293690740958"/>
    <n v="0.50162706309259042"/>
    <n v="22507.541666666668"/>
    <n v="22559.458333333332"/>
    <n v="45067"/>
    <n v="0.94581630971840913"/>
    <n v="0.94980117356541149"/>
    <n v="0.94781103690061463"/>
  </r>
  <r>
    <n v="9"/>
    <x v="2"/>
    <s v="T1"/>
    <d v="2009-02-01T00:00:00"/>
    <n v="18856"/>
    <n v="18725"/>
    <n v="37581"/>
    <n v="0.50174290199835025"/>
    <n v="0.49825709800164975"/>
    <n v="22959.75"/>
    <n v="22950.375"/>
    <n v="45910.125"/>
    <n v="0.82126329772754492"/>
    <n v="0.81589080788440271"/>
    <n v="0.81857760134610824"/>
  </r>
  <r>
    <n v="9"/>
    <x v="3"/>
    <s v="T1"/>
    <d v="2009-01-01T00:00:00"/>
    <n v="16404"/>
    <n v="14550"/>
    <n v="30954"/>
    <n v="0.52994766427602247"/>
    <n v="0.47005233572397753"/>
    <n v="23402.666666666668"/>
    <n v="23425.708333333332"/>
    <n v="46828.375"/>
    <n v="0.70094576116681861"/>
    <n v="0.62111248859426171"/>
    <n v="0.66100948410018501"/>
  </r>
  <r>
    <n v="8"/>
    <x v="4"/>
    <s v="T4"/>
    <d v="2008-12-01T00:00:00"/>
    <n v="18050"/>
    <n v="20069"/>
    <n v="38119"/>
    <n v="0.47351714368162856"/>
    <n v="0.52648285631837144"/>
    <n v="23798.75"/>
    <n v="23884.041666666668"/>
    <n v="47682.791666666664"/>
    <n v="0.75844319554598461"/>
    <n v="0.84026817069277426"/>
    <n v="0.7994288645362102"/>
  </r>
  <r>
    <n v="8"/>
    <x v="5"/>
    <s v="T4"/>
    <d v="2008-11-01T00:00:00"/>
    <n v="19496"/>
    <n v="18767"/>
    <n v="38263"/>
    <n v="0.50952617411075973"/>
    <n v="0.49047382588924027"/>
    <n v="24150.416666666668"/>
    <n v="24273.666666666668"/>
    <n v="48424.083333333336"/>
    <n v="0.80727385655872053"/>
    <n v="0.77314236277996728"/>
    <n v="0.79016467356979736"/>
  </r>
  <r>
    <n v="8"/>
    <x v="6"/>
    <s v="T4"/>
    <d v="2008-10-01T00:00:00"/>
    <n v="22095"/>
    <n v="22234"/>
    <n v="44329"/>
    <n v="0.49843217758126734"/>
    <n v="0.50156782241873266"/>
    <n v="24313.875"/>
    <n v="24436.25"/>
    <n v="48750.125"/>
    <n v="0.90874037972145538"/>
    <n v="0.90987774310706426"/>
    <n v="0.90931048894746425"/>
  </r>
  <r>
    <n v="8"/>
    <x v="7"/>
    <s v="T3"/>
    <d v="2008-09-01T00:00:00"/>
    <n v="28061"/>
    <n v="28898"/>
    <n v="56959"/>
    <n v="0.4926526097719412"/>
    <n v="0.50734739022805875"/>
    <n v="24573.541666666668"/>
    <n v="24670.583333333332"/>
    <n v="49244.125"/>
    <n v="1.1419192390189312"/>
    <n v="1.171354548433188"/>
    <n v="1.1566658966932604"/>
  </r>
  <r>
    <n v="8"/>
    <x v="8"/>
    <s v="T3"/>
    <d v="2008-08-01T00:00:00"/>
    <n v="38109"/>
    <n v="38176"/>
    <n v="76285"/>
    <n v="0.49956085731139804"/>
    <n v="0.5004391426886019"/>
    <n v="24756.208333333332"/>
    <n v="24842.291666666668"/>
    <n v="49598.5"/>
    <n v="1.53937143713109"/>
    <n v="1.5367342317788046"/>
    <n v="1.5380505458834441"/>
  </r>
  <r>
    <n v="8"/>
    <x v="9"/>
    <s v="T3"/>
    <d v="2008-07-01T00:00:00"/>
    <n v="36411"/>
    <n v="36613"/>
    <n v="73024"/>
    <n v="0.4986168930762489"/>
    <n v="0.5013831069237511"/>
    <n v="24725.416666666668"/>
    <n v="24825.625"/>
    <n v="49551.041666666664"/>
    <n v="1.4726142127702599"/>
    <n v="1.4748067772714686"/>
    <n v="1.4737127120603755"/>
  </r>
  <r>
    <n v="8"/>
    <x v="10"/>
    <s v="T2"/>
    <d v="2008-06-01T00:00:00"/>
    <n v="27166"/>
    <n v="26445"/>
    <n v="53611"/>
    <n v="0.50672436626811657"/>
    <n v="0.49327563373188338"/>
    <n v="24753.625"/>
    <n v="24873.458333333332"/>
    <n v="49627.083333333336"/>
    <n v="1.0974554231955926"/>
    <n v="1.0631814702083715"/>
    <n v="1.0802770664539691"/>
  </r>
  <r>
    <n v="8"/>
    <x v="11"/>
    <s v="T2"/>
    <d v="2008-05-01T00:00:00"/>
    <n v="22012"/>
    <n v="23559"/>
    <n v="45571"/>
    <n v="0.48302648614250293"/>
    <n v="0.51697351385749712"/>
    <n v="24655.875"/>
    <n v="24804.75"/>
    <n v="49460.625"/>
    <n v="0.89276896480047863"/>
    <n v="0.94977776433949146"/>
    <n v="0.92135916195963963"/>
  </r>
  <r>
    <n v="8"/>
    <x v="0"/>
    <s v="T2"/>
    <d v="2008-04-01T00:00:00"/>
    <n v="24002"/>
    <n v="23673"/>
    <n v="47675"/>
    <n v="0.50345044572627162"/>
    <n v="0.49654955427372838"/>
    <n v="24509.75"/>
    <n v="24706.833333333332"/>
    <n v="49216.583333333336"/>
    <n v="0.97928375442425974"/>
    <n v="0.95815597574220357"/>
    <n v="0.96867756294880281"/>
  </r>
  <r>
    <n v="8"/>
    <x v="1"/>
    <s v="T1"/>
    <d v="2008-03-01T00:00:00"/>
    <n v="27153"/>
    <n v="27249"/>
    <n v="54402"/>
    <n v="0.4991176794970773"/>
    <n v="0.5008823205029227"/>
    <n v="24275.875"/>
    <n v="24532.583333333332"/>
    <n v="48808.458333333336"/>
    <n v="1.1185178701076686"/>
    <n v="1.1107268904280363"/>
    <n v="1.1146018919193479"/>
  </r>
  <r>
    <n v="8"/>
    <x v="2"/>
    <s v="T1"/>
    <d v="2008-02-01T00:00:00"/>
    <n v="17375"/>
    <n v="17024"/>
    <n v="34399"/>
    <n v="0.50510189249687487"/>
    <n v="0.49489810750312507"/>
    <n v="23846.833333333332"/>
    <n v="24147.708333333332"/>
    <n v="47994.541666666664"/>
    <n v="0.72860827083959434"/>
    <n v="0.70499443528975325"/>
    <n v="0.71672733618145812"/>
  </r>
  <r>
    <n v="8"/>
    <x v="3"/>
    <s v="T1"/>
    <d v="2008-01-01T00:00:00"/>
    <n v="17146"/>
    <n v="15851"/>
    <n v="32997"/>
    <n v="0.51962299602994211"/>
    <n v="0.48037700397005789"/>
    <n v="23367.833333333332"/>
    <n v="23592.041666666668"/>
    <n v="46959.875"/>
    <n v="0.73374367898892356"/>
    <n v="0.67187911177674675"/>
    <n v="0.70266371024198848"/>
  </r>
  <r>
    <n v="7"/>
    <x v="4"/>
    <s v="T4"/>
    <d v="2007-12-01T00:00:00"/>
    <n v="17985"/>
    <n v="19916"/>
    <n v="37901"/>
    <n v="0.47452573810717397"/>
    <n v="0.52547426189282609"/>
    <n v="22917.833333333332"/>
    <n v="23024"/>
    <n v="45941.833333333336"/>
    <n v="0.78476004857934512"/>
    <n v="0.86501042390548988"/>
    <n v="0.82497796126261103"/>
  </r>
  <r>
    <n v="7"/>
    <x v="5"/>
    <s v="T4"/>
    <d v="2007-11-01T00:00:00"/>
    <n v="17215"/>
    <n v="17271"/>
    <n v="34486"/>
    <n v="0.49918807632082585"/>
    <n v="0.50081192367917415"/>
    <n v="22479.958333333332"/>
    <n v="22506.125"/>
    <n v="44986.083333333336"/>
    <n v="0.76579323434392488"/>
    <n v="0.76739109908969227"/>
    <n v="0.76659263142490364"/>
  </r>
  <r>
    <n v="7"/>
    <x v="6"/>
    <s v="T4"/>
    <d v="2007-10-01T00:00:00"/>
    <n v="20869"/>
    <n v="21380"/>
    <n v="42249"/>
    <n v="0.49395251958626241"/>
    <n v="0.50604748041373759"/>
    <n v="22291.333333333332"/>
    <n v="22318.791666666668"/>
    <n v="44610.125"/>
    <n v="0.93619343840655567"/>
    <n v="0.95793716431034381"/>
    <n v="0.94707199318540358"/>
  </r>
  <r>
    <n v="7"/>
    <x v="7"/>
    <s v="T3"/>
    <d v="2007-09-01T00:00:00"/>
    <n v="23674"/>
    <n v="25570"/>
    <n v="49244"/>
    <n v="0.48074892372674843"/>
    <n v="0.51925107627325151"/>
    <n v="21822.208333333332"/>
    <n v="21878.208333333332"/>
    <n v="43700.416666666664"/>
    <n v="1.0848581242732462"/>
    <n v="1.1687428700933387"/>
    <n v="1.1268542443340548"/>
  </r>
  <r>
    <n v="7"/>
    <x v="8"/>
    <s v="T3"/>
    <d v="2007-08-01T00:00:00"/>
    <n v="32199"/>
    <n v="32267"/>
    <n v="64466"/>
    <n v="0.49947259020258739"/>
    <n v="0.50052740979741261"/>
    <n v="21425.833333333332"/>
    <n v="21471.041666666668"/>
    <n v="42896.875"/>
    <n v="1.5028120259810978"/>
    <n v="1.5028148378144981"/>
    <n v="1.5028134333794712"/>
  </r>
  <r>
    <n v="7"/>
    <x v="9"/>
    <s v="T3"/>
    <d v="2007-07-01T00:00:00"/>
    <n v="30825"/>
    <n v="29186"/>
    <n v="60011"/>
    <n v="0.51365582976454316"/>
    <n v="0.48634417023545684"/>
    <n v="21366.333333333332"/>
    <n v="21422.666666666668"/>
    <n v="42789"/>
    <n v="1.4426902135758748"/>
    <n v="1.3623887471214289"/>
    <n v="1.4024866203930917"/>
  </r>
  <r>
    <n v="7"/>
    <x v="10"/>
    <s v="T2"/>
    <d v="2007-06-01T00:00:00"/>
    <n v="21952"/>
    <n v="20239"/>
    <n v="42191"/>
    <n v="0.52030053802943754"/>
    <n v="0.47969946197056246"/>
    <n v="21082.291666666668"/>
    <n v="21159.791666666668"/>
    <n v="42242.083333333336"/>
    <n v="1.0412530263352933"/>
    <n v="0.95648389732885675"/>
    <n v="0.99879070042710172"/>
  </r>
  <r>
    <n v="7"/>
    <x v="11"/>
    <s v="T2"/>
    <d v="2007-05-01T00:00:00"/>
    <n v="16717"/>
    <n v="17336"/>
    <n v="34053"/>
    <n v="0.49091122661733183"/>
    <n v="0.50908877338266822"/>
    <n v="20842.75"/>
    <n v="20918.458333333332"/>
    <n v="41761.208333333336"/>
    <n v="0.8020534718307325"/>
    <n v="0.82874176116388443"/>
    <n v="0.81542180791783436"/>
  </r>
  <r>
    <n v="7"/>
    <x v="0"/>
    <s v="T2"/>
    <d v="2007-04-01T00:00:00"/>
    <n v="24770"/>
    <n v="25400"/>
    <n v="50170"/>
    <n v="0.49372134741877616"/>
    <n v="0.50627865258122384"/>
    <n v="20597.166666666668"/>
    <n v="20647.166666666668"/>
    <n v="41244.333333333336"/>
    <n v="1.2025925895956562"/>
    <n v="1.230193004689909"/>
    <n v="1.2164095269653203"/>
  </r>
  <r>
    <n v="7"/>
    <x v="1"/>
    <s v="T1"/>
    <d v="2007-03-01T00:00:00"/>
    <n v="15126"/>
    <n v="14948"/>
    <n v="30074"/>
    <n v="0.50295936689499232"/>
    <n v="0.49704063310500762"/>
    <n v="20372.5"/>
    <n v="20368.875"/>
    <n v="40741.375"/>
    <n v="0.74247146889188853"/>
    <n v="0.73386478143736456"/>
    <n v="0.73816850805845413"/>
  </r>
  <r>
    <n v="7"/>
    <x v="2"/>
    <s v="T1"/>
    <d v="2007-02-01T00:00:00"/>
    <n v="19889"/>
    <n v="19553"/>
    <n v="39442"/>
    <n v="0.50425941889356518"/>
    <n v="0.49574058110643476"/>
    <n v="20121.5"/>
    <n v="20070.041666666668"/>
    <n v="40191.541666666664"/>
    <n v="0.98844519543771592"/>
    <n v="0.97423813685821103"/>
    <n v="0.98135076099137786"/>
  </r>
  <r>
    <n v="7"/>
    <x v="3"/>
    <s v="T1"/>
    <d v="2007-01-01T00:00:00"/>
    <n v="13204"/>
    <n v="12161"/>
    <n v="25365"/>
    <n v="0.52055982653262367"/>
    <n v="0.47944017346737633"/>
    <n v="19837.083333333332"/>
    <n v="19764.166666666668"/>
    <n v="39601.25"/>
    <n v="0.66562204625175914"/>
    <n v="0.61530547708394823"/>
    <n v="0.64051008490893591"/>
  </r>
  <r>
    <n v="6"/>
    <x v="4"/>
    <s v="T4"/>
    <d v="2006-12-01T00:00:00"/>
    <n v="15110"/>
    <n v="17297"/>
    <n v="32407"/>
    <n v="0.46625729009164685"/>
    <n v="0.53374270990835315"/>
    <n v="19458.5"/>
    <n v="19384.125"/>
    <n v="38842.625"/>
    <n v="0.77652439807796081"/>
    <n v="0.89232812933263683"/>
    <n v="0.83431539449251946"/>
  </r>
  <r>
    <n v="6"/>
    <x v="5"/>
    <s v="T4"/>
    <d v="2006-11-01T00:00:00"/>
    <n v="14341"/>
    <n v="14098"/>
    <n v="28439"/>
    <n v="0.5042723021203277"/>
    <n v="0.4957276978796723"/>
    <n v="19142.083333333332"/>
    <n v="19117.833333333332"/>
    <n v="38259.916666666664"/>
    <n v="0.74918700071831268"/>
    <n v="0.73742666097099574"/>
    <n v="0.74331055782923383"/>
  </r>
  <r>
    <n v="6"/>
    <x v="6"/>
    <s v="T4"/>
    <d v="2006-10-01T00:00:00"/>
    <n v="17849"/>
    <n v="18042"/>
    <n v="35891"/>
    <n v="0.49731130366944359"/>
    <n v="0.50268869633055646"/>
    <n v="18833.541666666668"/>
    <n v="18812.291666666668"/>
    <n v="37645.833333333336"/>
    <n v="0.94772402960144242"/>
    <n v="0.95905381011971336"/>
    <n v="0.95338572219147755"/>
  </r>
  <r>
    <n v="6"/>
    <x v="7"/>
    <s v="T3"/>
    <d v="2006-09-01T00:00:00"/>
    <n v="21302"/>
    <n v="22229"/>
    <n v="43531"/>
    <n v="0.48935241551997427"/>
    <n v="0.51064758448002567"/>
    <n v="18624.25"/>
    <n v="18568.625"/>
    <n v="37192.875"/>
    <n v="1.1437776017826222"/>
    <n v="1.1971268739607805"/>
    <n v="1.1704123437620781"/>
  </r>
  <r>
    <n v="6"/>
    <x v="8"/>
    <s v="T3"/>
    <d v="2006-08-01T00:00:00"/>
    <n v="28547"/>
    <n v="28436"/>
    <n v="56983"/>
    <n v="0.50097397469420701"/>
    <n v="0.49902602530579293"/>
    <n v="18363.5"/>
    <n v="18296.916666666668"/>
    <n v="36660.416666666664"/>
    <n v="1.5545511476570371"/>
    <n v="1.5541416358858278"/>
    <n v="1.5543467636528956"/>
  </r>
  <r>
    <n v="6"/>
    <x v="9"/>
    <s v="T3"/>
    <d v="2006-07-01T00:00:00"/>
    <n v="27651"/>
    <n v="25676"/>
    <n v="53327"/>
    <n v="0.51851782399159896"/>
    <n v="0.48148217600840099"/>
    <n v="18019.166666666668"/>
    <n v="17913.833333333332"/>
    <n v="35933"/>
    <n v="1.5345326735420617"/>
    <n v="1.4333057320692575"/>
    <n v="1.4840675702000947"/>
  </r>
  <r>
    <n v="6"/>
    <x v="10"/>
    <s v="T2"/>
    <d v="2006-06-01T00:00:00"/>
    <n v="16040"/>
    <n v="14628"/>
    <n v="30668"/>
    <n v="0.52302073822877271"/>
    <n v="0.47697926177122735"/>
    <n v="18011.666666666668"/>
    <n v="17847.916666666668"/>
    <n v="35859.583333333336"/>
    <n v="0.89053391320440445"/>
    <n v="0.81959145558538571"/>
    <n v="0.85522466100414807"/>
  </r>
  <r>
    <n v="6"/>
    <x v="11"/>
    <s v="T2"/>
    <d v="2006-05-01T00:00:00"/>
    <n v="15035"/>
    <n v="16556"/>
    <n v="31591"/>
    <n v="0.47592668798075399"/>
    <n v="0.52407331201924601"/>
    <n v="18151"/>
    <n v="17937.791666666668"/>
    <n v="36088.791666666664"/>
    <n v="0.82832901768497602"/>
    <n v="0.92296757079443537"/>
    <n v="0.87536873752353861"/>
  </r>
  <r>
    <n v="6"/>
    <x v="0"/>
    <s v="T2"/>
    <d v="2006-04-01T00:00:00"/>
    <n v="19047"/>
    <n v="18847"/>
    <n v="37894"/>
    <n v="0.50263894020161504"/>
    <n v="0.49736105979838496"/>
    <n v="18258.541666666668"/>
    <n v="17995.25"/>
    <n v="36253.791666666664"/>
    <n v="1.0431829851325292"/>
    <n v="1.0473319348161321"/>
    <n v="1.0452423941863553"/>
  </r>
  <r>
    <n v="6"/>
    <x v="1"/>
    <s v="T1"/>
    <d v="2006-03-01T00:00:00"/>
    <n v="15826"/>
    <n v="15653"/>
    <n v="31479"/>
    <n v="0.50274786365513513"/>
    <n v="0.49725213634486481"/>
    <n v="18360.583333333332"/>
    <n v="18086.833333333332"/>
    <n v="36447.416666666664"/>
    <n v="0.86195518479351152"/>
    <n v="0.86543618285861723"/>
    <n v="0.86368261125045442"/>
  </r>
  <r>
    <n v="6"/>
    <x v="2"/>
    <s v="T1"/>
    <d v="2006-02-01T00:00:00"/>
    <n v="12931"/>
    <n v="12327"/>
    <n v="25258"/>
    <n v="0.51195660780742736"/>
    <n v="0.48804339219257264"/>
    <n v="18663.666666666668"/>
    <n v="18415.875"/>
    <n v="37079.541666666664"/>
    <n v="0.69284349270418455"/>
    <n v="0.66936814025942293"/>
    <n v="0.68118425591830178"/>
  </r>
  <r>
    <n v="6"/>
    <x v="3"/>
    <s v="T1"/>
    <d v="2006-01-01T00:00:00"/>
    <n v="11898"/>
    <n v="10193"/>
    <n v="22091"/>
    <n v="0.53859037617129146"/>
    <n v="0.46140962382870854"/>
    <n v="18954.166666666668"/>
    <n v="18714.25"/>
    <n v="37668.416666666664"/>
    <n v="0.62772477467575283"/>
    <n v="0.54466516157473588"/>
    <n v="0.58645947865254056"/>
  </r>
  <r>
    <n v="5"/>
    <x v="4"/>
    <s v="T4"/>
    <d v="2005-12-01T00:00:00"/>
    <n v="16236"/>
    <n v="17683"/>
    <n v="33919"/>
    <n v="0.47866977210413042"/>
    <n v="0.52133022789586958"/>
    <n v="18991.666666666668"/>
    <n v="18757.25"/>
    <n v="37748.916666666664"/>
    <n v="0.85490127248793324"/>
    <n v="0.94272881152620991"/>
    <n v="0.89854234227472318"/>
  </r>
  <r>
    <n v="5"/>
    <x v="5"/>
    <s v="T4"/>
    <d v="2005-11-01T00:00:00"/>
    <n v="16559"/>
    <n v="15869"/>
    <n v="32428"/>
    <n v="0.51063895399037873"/>
    <n v="0.48936104600962133"/>
    <n v="18855.458333333332"/>
    <n v="18593.5"/>
    <n v="37448.958333333336"/>
    <n v="0.87820723884109597"/>
    <n v="0.85347029876031943"/>
    <n v="0.86592528719646178"/>
  </r>
  <r>
    <n v="5"/>
    <x v="6"/>
    <s v="T4"/>
    <d v="2005-10-01T00:00:00"/>
    <n v="18212"/>
    <n v="17650"/>
    <n v="35862"/>
    <n v="0.50783559199152306"/>
    <n v="0.49216440800847694"/>
    <n v="18541.125"/>
    <n v="18261.25"/>
    <n v="36802.375"/>
    <n v="0.98224891963135996"/>
    <n v="0.96652748305838865"/>
    <n v="0.97444798059907822"/>
  </r>
  <r>
    <n v="5"/>
    <x v="7"/>
    <s v="T3"/>
    <d v="2005-09-01T00:00:00"/>
    <n v="23388"/>
    <n v="24819"/>
    <n v="48207"/>
    <n v="0.48515775717219489"/>
    <n v="0.51484224282780511"/>
    <n v="18472"/>
    <n v="18179.666666666668"/>
    <n v="36651.666666666664"/>
    <n v="1.2661325249025552"/>
    <n v="1.3652065494416838"/>
    <n v="1.31527443044882"/>
  </r>
  <r>
    <n v="5"/>
    <x v="8"/>
    <s v="T3"/>
    <d v="2005-08-01T00:00:00"/>
    <n v="33735"/>
    <n v="33743"/>
    <n v="67478"/>
    <n v="0.49994072142031476"/>
    <n v="0.50005927857968524"/>
    <n v="18440.083333333332"/>
    <n v="18128.125"/>
    <n v="36568.208333333336"/>
    <n v="1.8294385871358139"/>
    <n v="1.861361834166523"/>
    <n v="1.8452640442460835"/>
  </r>
  <r>
    <n v="5"/>
    <x v="9"/>
    <s v="T3"/>
    <d v="2005-07-01T00:00:00"/>
    <n v="29435"/>
    <n v="27530"/>
    <n v="56965"/>
    <n v="0.51672079346967437"/>
    <n v="0.48327920653032563"/>
    <n v="18050.625"/>
    <n v="17791.166666666668"/>
    <n v="35841.791666666664"/>
    <n v="1.6306914580520064"/>
    <n v="1.5473971165466007"/>
    <n v="1.5893457707076122"/>
  </r>
  <r>
    <n v="5"/>
    <x v="10"/>
    <s v="T2"/>
    <d v="2005-06-01T00:00:00"/>
    <n v="15156"/>
    <n v="13806"/>
    <n v="28962"/>
    <n v="0.52330640149160967"/>
    <n v="0.47669359850839033"/>
    <n v="17610.416666666668"/>
    <n v="17382.583333333332"/>
    <n v="34993"/>
    <n v="0.86062699633266293"/>
    <n v="0.79424327991140564"/>
    <n v="0.82765124453462124"/>
  </r>
  <r>
    <n v="5"/>
    <x v="11"/>
    <s v="T2"/>
    <d v="2005-05-01T00:00:00"/>
    <n v="12650"/>
    <n v="13448"/>
    <n v="26098"/>
    <n v="0.48471147214345928"/>
    <n v="0.51528852785654078"/>
    <n v="16911.833333333332"/>
    <n v="16714.875"/>
    <n v="33626.708333333336"/>
    <n v="0.74799696464999854"/>
    <n v="0.80455283093651608"/>
    <n v="0.77610926830235383"/>
  </r>
  <r>
    <n v="5"/>
    <x v="0"/>
    <s v="T2"/>
    <d v="2005-04-01T00:00:00"/>
    <n v="13888"/>
    <n v="13981"/>
    <n v="27869"/>
    <n v="0.49833147942157952"/>
    <n v="0.50166852057842048"/>
    <n v="16047.291666666666"/>
    <n v="15933.541666666666"/>
    <n v="31980.833333333332"/>
    <n v="0.86544198787438176"/>
    <n v="0.87745714621932247"/>
    <n v="0.87142819918180159"/>
  </r>
  <r>
    <n v="5"/>
    <x v="1"/>
    <s v="T1"/>
    <d v="2005-03-01T00:00:00"/>
    <n v="19326"/>
    <n v="18561"/>
    <n v="37887"/>
    <n v="0.51009581122812575"/>
    <n v="0.48990418877187425"/>
    <n v="15109.791666666666"/>
    <n v="15023.458333333334"/>
    <n v="30133.25"/>
    <n v="1.2790381513091678"/>
    <n v="1.2354678655325144"/>
    <n v="1.2573154239917699"/>
  </r>
  <r>
    <n v="5"/>
    <x v="2"/>
    <s v="T1"/>
    <d v="2005-02-01T00:00:00"/>
    <n v="8665"/>
    <n v="8182"/>
    <n v="16847"/>
    <n v="0.51433489642072772"/>
    <n v="0.48566510357927228"/>
    <n v="13732.625"/>
    <n v="13656.375"/>
    <n v="27389"/>
    <n v="0.63097914637587493"/>
    <n v="0.59913410403566103"/>
    <n v="0.6151009529373106"/>
  </r>
  <r>
    <n v="5"/>
    <x v="3"/>
    <s v="T1"/>
    <d v="2005-01-01T00:00:00"/>
    <n v="6817"/>
    <n v="6251"/>
    <n v="13068"/>
    <n v="0.52165595347413529"/>
    <n v="0.47834404652586471"/>
    <n v="12153.875"/>
    <n v="12110.791666666666"/>
    <n v="24264.666666666668"/>
    <n v="0.56089107383447667"/>
    <n v="0.51615122875947417"/>
    <n v="0.53856087040140666"/>
  </r>
  <r>
    <n v="4"/>
    <x v="4"/>
    <s v="T4"/>
    <d v="2004-12-01T00:00:00"/>
    <n v="10752"/>
    <n v="11819"/>
    <n v="22571"/>
    <n v="0.47636347525585931"/>
    <n v="0.52363652474414069"/>
    <n v="11079.791666666666"/>
    <n v="11106.208333333334"/>
    <n v="22186"/>
    <n v="0.97041535829118331"/>
    <n v="1.064179569234925"/>
    <n v="1.0173532858559451"/>
  </r>
  <r>
    <n v="4"/>
    <x v="5"/>
    <s v="T4"/>
    <d v="2004-11-01T00:00:00"/>
    <n v="5277"/>
    <n v="5708"/>
    <n v="10985"/>
    <n v="0.48038233955393717"/>
    <n v="0.51961766044606283"/>
    <n v="10435.666666666666"/>
    <n v="10498.041666666666"/>
    <n v="20933.708333333332"/>
    <n v="0.50566965854281798"/>
    <n v="0.54372045579929595"/>
    <n v="0.5247517460873512"/>
  </r>
  <r>
    <n v="4"/>
    <x v="6"/>
    <s v="T4"/>
    <d v="2004-10-01T00:00:00"/>
    <n v="8745"/>
    <n v="9059"/>
    <n v="17804"/>
    <n v="0.49118175690855986"/>
    <n v="0.50881824309144008"/>
    <n v="9994.125"/>
    <n v="10063.75"/>
    <n v="20057.875"/>
    <n v="0.87501407076657534"/>
    <n v="0.90016147062476715"/>
    <n v="0.88763141658824773"/>
  </r>
  <r>
    <n v="4"/>
    <x v="7"/>
    <s v="T3"/>
    <d v="2004-09-01T00:00:00"/>
    <n v="10355"/>
    <n v="11568"/>
    <n v="21923"/>
    <n v="0.47233499064909001"/>
    <n v="0.52766500935090999"/>
    <n v="9432.375"/>
    <n v="9516.5416666666661"/>
    <n v="18948.916666666668"/>
    <n v="1.0978147073245073"/>
    <n v="1.2155676300476803"/>
    <n v="1.156952684190389"/>
  </r>
  <r>
    <n v="4"/>
    <x v="8"/>
    <s v="T3"/>
    <d v="2004-08-01T00:00:00"/>
    <n v="13716"/>
    <n v="14184"/>
    <n v="27900"/>
    <n v="0.49161290322580647"/>
    <n v="0.50838709677419358"/>
    <n v="8882.4583333333339"/>
    <n v="8989.5"/>
    <n v="17871.958333333332"/>
    <n v="1.5441671083924775"/>
    <n v="1.5778408142833305"/>
    <n v="1.5611048033814612"/>
  </r>
  <r>
    <n v="4"/>
    <x v="9"/>
    <s v="T3"/>
    <d v="2004-07-01T00:00:00"/>
    <n v="11564"/>
    <n v="9995"/>
    <n v="21559"/>
    <n v="0.53638851523725595"/>
    <n v="0.46361148476274411"/>
    <n v="8718.5"/>
    <n v="8851.5833333333339"/>
    <n v="17570.083333333332"/>
    <n v="1.3263749498193496"/>
    <n v="1.1291765126766398"/>
    <n v="1.2270288985538866"/>
  </r>
  <r>
    <n v="4"/>
    <x v="10"/>
    <s v="T2"/>
    <d v="2004-06-01T00:00:00"/>
    <n v="7249"/>
    <n v="7231"/>
    <n v="14480"/>
    <n v="0.50062154696132599"/>
    <n v="0.49937845303867401"/>
    <m/>
    <m/>
    <m/>
    <m/>
    <m/>
    <m/>
  </r>
  <r>
    <n v="4"/>
    <x v="11"/>
    <s v="T2"/>
    <d v="2004-05-01T00:00:00"/>
    <n v="5098"/>
    <n v="5427"/>
    <n v="10525"/>
    <n v="0.4843705463182898"/>
    <n v="0.5156294536817102"/>
    <m/>
    <m/>
    <m/>
    <m/>
    <m/>
    <m/>
  </r>
  <r>
    <n v="4"/>
    <x v="0"/>
    <s v="T2"/>
    <d v="2004-04-01T00:00:00"/>
    <n v="10843"/>
    <n v="11579"/>
    <n v="22422"/>
    <n v="0.48358754794398356"/>
    <n v="0.51641245205601638"/>
    <m/>
    <m/>
    <m/>
    <m/>
    <m/>
    <m/>
  </r>
  <r>
    <n v="4"/>
    <x v="1"/>
    <s v="T1"/>
    <d v="2004-03-01T00:00:00"/>
    <n v="8889"/>
    <n v="7830"/>
    <n v="16719"/>
    <n v="0.53167055445899869"/>
    <n v="0.46832944554100125"/>
    <m/>
    <m/>
    <m/>
    <m/>
    <m/>
    <m/>
  </r>
  <r>
    <n v="4"/>
    <x v="2"/>
    <s v="T1"/>
    <d v="2004-02-01T00:00:00"/>
    <n v="5904"/>
    <n v="6264"/>
    <n v="12168"/>
    <n v="0.48520710059171596"/>
    <n v="0.51479289940828399"/>
    <m/>
    <m/>
    <m/>
    <m/>
    <m/>
    <m/>
  </r>
  <r>
    <n v="4"/>
    <x v="3"/>
    <s v="T1"/>
    <d v="2004-01-01T00:00:00"/>
    <n v="5643"/>
    <n v="4859"/>
    <n v="10502"/>
    <n v="0.53732622357646165"/>
    <n v="0.46267377642353835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s v="Oct"/>
    <x v="0"/>
    <n v="59066.416666666664"/>
  </r>
  <r>
    <x v="0"/>
    <s v="Sep"/>
    <x v="1"/>
    <n v="59187.541666666664"/>
  </r>
  <r>
    <x v="0"/>
    <s v="Ago"/>
    <x v="1"/>
    <n v="59133.416666666664"/>
  </r>
  <r>
    <x v="0"/>
    <s v="Jul"/>
    <x v="1"/>
    <n v="59053.375"/>
  </r>
  <r>
    <x v="0"/>
    <s v="Jun"/>
    <x v="2"/>
    <n v="59100.75"/>
  </r>
  <r>
    <x v="0"/>
    <s v="May"/>
    <x v="2"/>
    <n v="59262.25"/>
  </r>
  <r>
    <x v="0"/>
    <s v="Abr"/>
    <x v="2"/>
    <n v="59101.291666666664"/>
  </r>
  <r>
    <x v="0"/>
    <s v="Mar"/>
    <x v="3"/>
    <n v="58977.875"/>
  </r>
  <r>
    <x v="0"/>
    <s v="Feb"/>
    <x v="3"/>
    <n v="58917.333333333336"/>
  </r>
  <r>
    <x v="0"/>
    <s v="Ene"/>
    <x v="3"/>
    <n v="58610.25"/>
  </r>
  <r>
    <x v="1"/>
    <s v="Dic"/>
    <x v="0"/>
    <n v="58574.416666666664"/>
  </r>
  <r>
    <x v="1"/>
    <s v="Nov"/>
    <x v="0"/>
    <n v="58550.625"/>
  </r>
  <r>
    <x v="1"/>
    <s v="Oct"/>
    <x v="0"/>
    <n v="58034.083333333336"/>
  </r>
  <r>
    <x v="1"/>
    <s v="Sep"/>
    <x v="1"/>
    <n v="57796.416666666664"/>
  </r>
  <r>
    <x v="1"/>
    <s v="Ago"/>
    <x v="1"/>
    <n v="57816.166666666664"/>
  </r>
  <r>
    <x v="1"/>
    <s v="Jul"/>
    <x v="1"/>
    <n v="57794.291666666664"/>
  </r>
  <r>
    <x v="1"/>
    <s v="Jun"/>
    <x v="2"/>
    <n v="57663.083333333336"/>
  </r>
  <r>
    <x v="1"/>
    <s v="May"/>
    <x v="2"/>
    <n v="57147.708333333336"/>
  </r>
  <r>
    <x v="1"/>
    <s v="Abr"/>
    <x v="2"/>
    <n v="56729"/>
  </r>
  <r>
    <x v="1"/>
    <s v="Mar"/>
    <x v="3"/>
    <n v="56526.416666666664"/>
  </r>
  <r>
    <x v="1"/>
    <s v="Feb"/>
    <x v="3"/>
    <n v="56494.666666666664"/>
  </r>
  <r>
    <x v="1"/>
    <s v="Ene"/>
    <x v="3"/>
    <n v="56775.291666666664"/>
  </r>
  <r>
    <x v="2"/>
    <s v="Dic"/>
    <x v="0"/>
    <n v="56705.166666666664"/>
  </r>
  <r>
    <x v="2"/>
    <s v="Nov"/>
    <x v="0"/>
    <n v="56175.583333333336"/>
  </r>
  <r>
    <x v="2"/>
    <s v="Oct"/>
    <x v="0"/>
    <n v="56128.375"/>
  </r>
  <r>
    <x v="2"/>
    <s v="Sep"/>
    <x v="1"/>
    <n v="56315.041666666664"/>
  </r>
  <r>
    <x v="2"/>
    <s v="Ago"/>
    <x v="1"/>
    <n v="56471.291666666664"/>
  </r>
  <r>
    <x v="2"/>
    <s v="Jul"/>
    <x v="1"/>
    <n v="56895.416666666664"/>
  </r>
  <r>
    <x v="2"/>
    <s v="Jun"/>
    <x v="2"/>
    <n v="57319.041666666664"/>
  </r>
  <r>
    <x v="2"/>
    <s v="May"/>
    <x v="2"/>
    <n v="57680"/>
  </r>
  <r>
    <x v="2"/>
    <s v="Abr"/>
    <x v="2"/>
    <n v="57826.5"/>
  </r>
  <r>
    <x v="2"/>
    <s v="Mar"/>
    <x v="3"/>
    <n v="57760.125"/>
  </r>
  <r>
    <x v="2"/>
    <s v="Feb"/>
    <x v="3"/>
    <n v="57694.833333333336"/>
  </r>
  <r>
    <x v="2"/>
    <s v="Ene"/>
    <x v="3"/>
    <n v="57581.166666666664"/>
  </r>
  <r>
    <x v="3"/>
    <s v="Dic"/>
    <x v="0"/>
    <n v="57661.5"/>
  </r>
  <r>
    <x v="3"/>
    <s v="Nov"/>
    <x v="0"/>
    <n v="57681"/>
  </r>
  <r>
    <x v="3"/>
    <s v="Oct"/>
    <x v="0"/>
    <n v="57058.583333333336"/>
  </r>
  <r>
    <x v="3"/>
    <s v="Sep"/>
    <x v="1"/>
    <n v="56183.333333333336"/>
  </r>
  <r>
    <x v="3"/>
    <s v="Ago"/>
    <x v="1"/>
    <n v="55099.916666666664"/>
  </r>
  <r>
    <x v="3"/>
    <s v="Jul"/>
    <x v="1"/>
    <n v="53364.208333333336"/>
  </r>
  <r>
    <x v="3"/>
    <s v="Jun"/>
    <x v="2"/>
    <n v="51226.291666666664"/>
  </r>
  <r>
    <x v="3"/>
    <s v="May"/>
    <x v="2"/>
    <n v="49271.166666666664"/>
  </r>
  <r>
    <x v="3"/>
    <s v="Abr"/>
    <x v="2"/>
    <n v="47176.291666666664"/>
  </r>
  <r>
    <x v="3"/>
    <s v="Mar"/>
    <x v="3"/>
    <n v="44837.916666666664"/>
  </r>
  <r>
    <x v="3"/>
    <s v="Feb"/>
    <x v="3"/>
    <n v="42298.25"/>
  </r>
  <r>
    <x v="3"/>
    <s v="Ene"/>
    <x v="3"/>
    <n v="39599.5"/>
  </r>
  <r>
    <x v="4"/>
    <s v="Dic"/>
    <x v="0"/>
    <n v="37077.125"/>
  </r>
  <r>
    <x v="4"/>
    <s v="Nov"/>
    <x v="0"/>
    <n v="34791.541666666664"/>
  </r>
  <r>
    <x v="4"/>
    <s v="Oct"/>
    <x v="0"/>
    <n v="32791.958333333336"/>
  </r>
  <r>
    <x v="4"/>
    <s v="Sep"/>
    <x v="1"/>
    <n v="30902.416666666668"/>
  </r>
  <r>
    <x v="4"/>
    <s v="Ago"/>
    <x v="1"/>
    <n v="29556.5"/>
  </r>
  <r>
    <x v="4"/>
    <s v="Jul"/>
    <x v="1"/>
    <n v="28938.083333333332"/>
  </r>
  <r>
    <x v="4"/>
    <s v="Jun"/>
    <x v="2"/>
    <n v="28987.666666666668"/>
  </r>
  <r>
    <x v="4"/>
    <s v="May"/>
    <x v="2"/>
    <n v="29370.666666666668"/>
  </r>
  <r>
    <x v="4"/>
    <s v="Abr"/>
    <x v="2"/>
    <n v="29829.875"/>
  </r>
  <r>
    <x v="4"/>
    <s v="Mar"/>
    <x v="3"/>
    <n v="30884.708333333332"/>
  </r>
  <r>
    <x v="4"/>
    <s v="Feb"/>
    <x v="3"/>
    <n v="32730.458333333332"/>
  </r>
  <r>
    <x v="4"/>
    <s v="Ene"/>
    <x v="3"/>
    <n v="34785.833333333336"/>
  </r>
  <r>
    <x v="5"/>
    <s v="Dic"/>
    <x v="0"/>
    <n v="36377.916666666664"/>
  </r>
  <r>
    <x v="5"/>
    <s v="Nov"/>
    <x v="0"/>
    <n v="37357.416666666664"/>
  </r>
  <r>
    <x v="5"/>
    <s v="Oct"/>
    <x v="0"/>
    <n v="38124.625"/>
  </r>
  <r>
    <x v="5"/>
    <s v="Sep"/>
    <x v="1"/>
    <n v="39085.833333333336"/>
  </r>
  <r>
    <x v="5"/>
    <s v="Ago"/>
    <x v="1"/>
    <n v="39880.125"/>
  </r>
  <r>
    <x v="5"/>
    <s v="Jul"/>
    <x v="1"/>
    <n v="40371.833333333336"/>
  </r>
  <r>
    <x v="5"/>
    <s v="Jun"/>
    <x v="2"/>
    <n v="40479.916666666664"/>
  </r>
  <r>
    <x v="5"/>
    <s v="May"/>
    <x v="2"/>
    <n v="40281.291666666664"/>
  </r>
  <r>
    <x v="5"/>
    <s v="Abr"/>
    <x v="2"/>
    <n v="40113.791666666664"/>
  </r>
  <r>
    <x v="5"/>
    <s v="Mar"/>
    <x v="3"/>
    <n v="39594.625"/>
  </r>
  <r>
    <x v="5"/>
    <s v="Feb"/>
    <x v="3"/>
    <n v="38651.458333333336"/>
  </r>
  <r>
    <x v="5"/>
    <s v="Ene"/>
    <x v="3"/>
    <n v="37641.708333333336"/>
  </r>
  <r>
    <x v="6"/>
    <s v="Dic"/>
    <x v="0"/>
    <n v="36803.625"/>
  </r>
  <r>
    <x v="6"/>
    <s v="Nov"/>
    <x v="0"/>
    <n v="36410.916666666664"/>
  </r>
  <r>
    <x v="6"/>
    <s v="Oct"/>
    <x v="0"/>
    <n v="36454.125"/>
  </r>
  <r>
    <x v="6"/>
    <s v="Sep"/>
    <x v="1"/>
    <n v="36638.791666666664"/>
  </r>
  <r>
    <x v="6"/>
    <s v="Ago"/>
    <x v="1"/>
    <n v="36619.208333333336"/>
  </r>
  <r>
    <x v="6"/>
    <s v="Jul"/>
    <x v="1"/>
    <n v="36469.333333333336"/>
  </r>
  <r>
    <x v="6"/>
    <s v="Jun"/>
    <x v="2"/>
    <n v="36486.208333333336"/>
  </r>
  <r>
    <x v="6"/>
    <s v="May"/>
    <x v="2"/>
    <n v="36580.083333333336"/>
  </r>
  <r>
    <x v="6"/>
    <s v="Abr"/>
    <x v="2"/>
    <n v="36521.833333333336"/>
  </r>
  <r>
    <x v="6"/>
    <s v="Mar"/>
    <x v="3"/>
    <n v="36188.291666666664"/>
  </r>
  <r>
    <x v="6"/>
    <s v="Feb"/>
    <x v="3"/>
    <n v="35732.208333333336"/>
  </r>
  <r>
    <x v="6"/>
    <s v="Ene"/>
    <x v="3"/>
    <n v="35306.375"/>
  </r>
  <r>
    <x v="7"/>
    <s v="Dic"/>
    <x v="0"/>
    <n v="35007.875"/>
  </r>
  <r>
    <x v="7"/>
    <s v="Nov"/>
    <x v="0"/>
    <n v="34925.416666666664"/>
  </r>
  <r>
    <x v="7"/>
    <s v="Oct"/>
    <x v="0"/>
    <n v="34623.583333333336"/>
  </r>
  <r>
    <x v="7"/>
    <s v="Sep"/>
    <x v="1"/>
    <n v="34409.458333333336"/>
  </r>
  <r>
    <x v="7"/>
    <s v="Ago"/>
    <x v="1"/>
    <n v="34675.875"/>
  </r>
  <r>
    <x v="7"/>
    <s v="Jul"/>
    <x v="1"/>
    <n v="34884.166666666664"/>
  </r>
  <r>
    <x v="7"/>
    <s v="Jun"/>
    <x v="2"/>
    <n v="34936.708333333336"/>
  </r>
  <r>
    <x v="7"/>
    <s v="May"/>
    <x v="2"/>
    <n v="34830"/>
  </r>
  <r>
    <x v="7"/>
    <s v="Abr"/>
    <x v="2"/>
    <n v="34730.541666666664"/>
  </r>
  <r>
    <x v="7"/>
    <s v="Mar"/>
    <x v="3"/>
    <n v="34946.875"/>
  </r>
  <r>
    <x v="7"/>
    <s v="Feb"/>
    <x v="3"/>
    <n v="35245.458333333336"/>
  </r>
  <r>
    <x v="7"/>
    <s v="Ene"/>
    <x v="3"/>
    <n v="35452.875"/>
  </r>
  <r>
    <x v="8"/>
    <s v="Dic"/>
    <x v="0"/>
    <n v="35489.416666666664"/>
  </r>
  <r>
    <x v="8"/>
    <s v="Nov"/>
    <x v="0"/>
    <n v="35291.166666666664"/>
  </r>
  <r>
    <x v="8"/>
    <s v="Oct"/>
    <x v="0"/>
    <n v="35331.125"/>
  </r>
  <r>
    <x v="8"/>
    <s v="Sep"/>
    <x v="1"/>
    <n v="35339.083333333336"/>
  </r>
  <r>
    <x v="8"/>
    <s v="Ago"/>
    <x v="1"/>
    <n v="35281.875"/>
  </r>
  <r>
    <x v="8"/>
    <s v="Jul"/>
    <x v="1"/>
    <n v="35362.666666666664"/>
  </r>
  <r>
    <x v="8"/>
    <s v="Jun"/>
    <x v="2"/>
    <n v="35356.166666666664"/>
  </r>
  <r>
    <x v="8"/>
    <s v="May"/>
    <x v="2"/>
    <n v="35659.041666666664"/>
  </r>
  <r>
    <x v="8"/>
    <s v="Abr"/>
    <x v="2"/>
    <n v="35974.083333333336"/>
  </r>
  <r>
    <x v="8"/>
    <s v="Mar"/>
    <x v="3"/>
    <n v="35875.166666666664"/>
  </r>
  <r>
    <x v="8"/>
    <s v="Feb"/>
    <x v="3"/>
    <n v="35587.791666666664"/>
  </r>
  <r>
    <x v="8"/>
    <s v="Ene"/>
    <x v="3"/>
    <n v="35476.583333333336"/>
  </r>
  <r>
    <x v="9"/>
    <s v="Dic"/>
    <x v="0"/>
    <n v="35396.916666666664"/>
  </r>
  <r>
    <x v="9"/>
    <s v="Nov"/>
    <x v="0"/>
    <n v="35269.083333333336"/>
  </r>
  <r>
    <x v="9"/>
    <s v="Oct"/>
    <x v="0"/>
    <n v="35143.916666666664"/>
  </r>
  <r>
    <x v="9"/>
    <s v="Sep"/>
    <x v="1"/>
    <n v="34993.625"/>
  </r>
  <r>
    <x v="9"/>
    <s v="Ago"/>
    <x v="1"/>
    <n v="34890.166666666664"/>
  </r>
  <r>
    <x v="9"/>
    <s v="Jul"/>
    <x v="1"/>
    <n v="34776.666666666664"/>
  </r>
  <r>
    <x v="9"/>
    <s v="Jun"/>
    <x v="2"/>
    <n v="34683.125"/>
  </r>
  <r>
    <x v="9"/>
    <s v="May"/>
    <x v="2"/>
    <n v="34679.583333333336"/>
  </r>
  <r>
    <x v="9"/>
    <s v="Abr"/>
    <x v="2"/>
    <n v="34661.541666666664"/>
  </r>
  <r>
    <x v="9"/>
    <s v="Mar"/>
    <x v="3"/>
    <n v="34607.791666666664"/>
  </r>
  <r>
    <x v="9"/>
    <s v="Feb"/>
    <x v="3"/>
    <n v="34824.958333333336"/>
  </r>
  <r>
    <x v="9"/>
    <s v="Ene"/>
    <x v="3"/>
    <n v="34970.458333333336"/>
  </r>
  <r>
    <x v="10"/>
    <s v="Dic"/>
    <x v="0"/>
    <n v="35096.625"/>
  </r>
  <r>
    <x v="10"/>
    <s v="Nov"/>
    <x v="0"/>
    <n v="35444.041666666664"/>
  </r>
  <r>
    <x v="10"/>
    <s v="Oct"/>
    <x v="0"/>
    <n v="35823.333333333336"/>
  </r>
  <r>
    <x v="10"/>
    <s v="Sep"/>
    <x v="1"/>
    <n v="36436.041666666664"/>
  </r>
  <r>
    <x v="10"/>
    <s v="Ago"/>
    <x v="1"/>
    <n v="37097.125"/>
  </r>
  <r>
    <x v="10"/>
    <s v="Jul"/>
    <x v="1"/>
    <n v="37769.083333333336"/>
  </r>
  <r>
    <x v="10"/>
    <s v="Jun"/>
    <x v="2"/>
    <n v="38441.041666666664"/>
  </r>
  <r>
    <x v="10"/>
    <s v="May"/>
    <x v="2"/>
    <n v="38947.875"/>
  </r>
  <r>
    <x v="10"/>
    <s v="Abr"/>
    <x v="2"/>
    <n v="39975.416666666664"/>
  </r>
  <r>
    <x v="10"/>
    <s v="Mar"/>
    <x v="3"/>
    <n v="41028.375"/>
  </r>
  <r>
    <x v="10"/>
    <s v="Feb"/>
    <x v="3"/>
    <n v="41611.083333333336"/>
  </r>
  <r>
    <x v="10"/>
    <s v="Ene"/>
    <x v="3"/>
    <n v="42254.791666666664"/>
  </r>
  <r>
    <x v="11"/>
    <s v="Dic"/>
    <x v="0"/>
    <n v="42820.458333333336"/>
  </r>
  <r>
    <x v="11"/>
    <s v="Nov"/>
    <x v="0"/>
    <n v="43206.958333333336"/>
  </r>
  <r>
    <x v="11"/>
    <s v="Oct"/>
    <x v="0"/>
    <n v="43650.458333333336"/>
  </r>
  <r>
    <x v="11"/>
    <s v="Sep"/>
    <x v="1"/>
    <n v="44209.583333333336"/>
  </r>
  <r>
    <x v="11"/>
    <s v="Ago"/>
    <x v="1"/>
    <n v="44893.666666666664"/>
  </r>
  <r>
    <x v="11"/>
    <s v="Jul"/>
    <x v="1"/>
    <n v="45572.583333333336"/>
  </r>
  <r>
    <x v="11"/>
    <s v="Jun"/>
    <x v="2"/>
    <n v="46301.166666666664"/>
  </r>
  <r>
    <x v="11"/>
    <s v="May"/>
    <x v="2"/>
    <n v="47230.791666666664"/>
  </r>
  <r>
    <x v="11"/>
    <s v="Abr"/>
    <x v="2"/>
    <n v="48182.208333333336"/>
  </r>
  <r>
    <x v="11"/>
    <s v="Mar"/>
    <x v="3"/>
    <n v="49510.625"/>
  </r>
  <r>
    <x v="11"/>
    <s v="Feb"/>
    <x v="3"/>
    <n v="51439.666666666664"/>
  </r>
  <r>
    <x v="11"/>
    <s v="Ene"/>
    <x v="3"/>
    <n v="53528.625"/>
  </r>
  <r>
    <x v="12"/>
    <s v="Dic"/>
    <x v="0"/>
    <n v="55384.875"/>
  </r>
  <r>
    <x v="12"/>
    <s v="Nov"/>
    <x v="0"/>
    <n v="57297.166666666664"/>
  </r>
  <r>
    <x v="12"/>
    <s v="Oct"/>
    <x v="0"/>
    <n v="59400.166666666664"/>
  </r>
  <r>
    <x v="12"/>
    <s v="Sep"/>
    <x v="1"/>
    <n v="61064.791666666664"/>
  </r>
  <r>
    <x v="12"/>
    <s v="Ago"/>
    <x v="1"/>
    <n v="62026.583333333336"/>
  </r>
  <r>
    <x v="12"/>
    <s v="Jul"/>
    <x v="1"/>
    <n v="62457.166666666664"/>
  </r>
  <r>
    <x v="12"/>
    <s v="Jun"/>
    <x v="2"/>
    <n v="62509.375"/>
  </r>
  <r>
    <x v="12"/>
    <s v="May"/>
    <x v="2"/>
    <n v="62731.333333333336"/>
  </r>
  <r>
    <x v="12"/>
    <s v="Abr"/>
    <x v="2"/>
    <n v="62643.708333333336"/>
  </r>
  <r>
    <x v="12"/>
    <s v="Mar"/>
    <x v="3"/>
    <n v="61975.916666666664"/>
  </r>
  <r>
    <x v="12"/>
    <s v="Feb"/>
    <x v="3"/>
    <n v="61552.833333333336"/>
  </r>
  <r>
    <x v="12"/>
    <s v="Ene"/>
    <x v="3"/>
    <n v="61235.916666666664"/>
  </r>
  <r>
    <x v="13"/>
    <s v="Dic"/>
    <x v="0"/>
    <n v="60320.208333333336"/>
  </r>
  <r>
    <x v="13"/>
    <s v="Nov"/>
    <x v="0"/>
    <n v="58691.208333333336"/>
  </r>
  <r>
    <x v="13"/>
    <s v="Oct"/>
    <x v="0"/>
    <n v="56410.291666666664"/>
  </r>
  <r>
    <x v="13"/>
    <s v="Sep"/>
    <x v="1"/>
    <n v="54141.875"/>
  </r>
  <r>
    <x v="13"/>
    <s v="Ago"/>
    <x v="1"/>
    <n v="52427.75"/>
  </r>
  <r>
    <x v="13"/>
    <s v="Jul"/>
    <x v="1"/>
    <n v="51047.333333333336"/>
  </r>
  <r>
    <x v="13"/>
    <s v="Jun"/>
    <x v="2"/>
    <n v="49962.833333333336"/>
  </r>
  <r>
    <x v="13"/>
    <s v="May"/>
    <x v="2"/>
    <n v="48697.125"/>
  </r>
  <r>
    <x v="13"/>
    <s v="Abr"/>
    <x v="2"/>
    <n v="47353.75"/>
  </r>
  <r>
    <x v="13"/>
    <s v="Mar"/>
    <x v="3"/>
    <n v="46410.458333333336"/>
  </r>
  <r>
    <x v="13"/>
    <s v="Feb"/>
    <x v="3"/>
    <n v="45335.666666666664"/>
  </r>
  <r>
    <x v="13"/>
    <s v="Ene"/>
    <x v="3"/>
    <n v="44158.666666666664"/>
  </r>
  <r>
    <x v="14"/>
    <s v="Dic"/>
    <x v="0"/>
    <n v="43569.083333333336"/>
  </r>
  <r>
    <x v="14"/>
    <s v="Nov"/>
    <x v="0"/>
    <n v="43327.916666666664"/>
  </r>
  <r>
    <x v="14"/>
    <s v="Oct"/>
    <x v="0"/>
    <n v="43483.583333333336"/>
  </r>
  <r>
    <x v="14"/>
    <s v="Sep"/>
    <x v="1"/>
    <n v="43709.333333333336"/>
  </r>
  <r>
    <x v="14"/>
    <s v="Ago"/>
    <x v="1"/>
    <n v="43834.25"/>
  </r>
  <r>
    <x v="14"/>
    <s v="Jul"/>
    <x v="1"/>
    <n v="44060.833333333336"/>
  </r>
  <r>
    <x v="14"/>
    <s v="Jun"/>
    <x v="2"/>
    <n v="44178.083333333336"/>
  </r>
  <r>
    <x v="14"/>
    <s v="May"/>
    <x v="2"/>
    <n v="44316.333333333336"/>
  </r>
  <r>
    <x v="14"/>
    <s v="Abr"/>
    <x v="2"/>
    <n v="44549.791666666664"/>
  </r>
  <r>
    <x v="14"/>
    <s v="Mar"/>
    <x v="3"/>
    <n v="45067"/>
  </r>
  <r>
    <x v="14"/>
    <s v="Feb"/>
    <x v="3"/>
    <n v="45910.125"/>
  </r>
  <r>
    <x v="14"/>
    <s v="Ene"/>
    <x v="3"/>
    <n v="46828.375"/>
  </r>
  <r>
    <x v="15"/>
    <s v="Dic"/>
    <x v="0"/>
    <n v="47682.791666666664"/>
  </r>
  <r>
    <x v="15"/>
    <s v="Nov"/>
    <x v="0"/>
    <n v="48424.083333333336"/>
  </r>
  <r>
    <x v="15"/>
    <s v="Oct"/>
    <x v="0"/>
    <n v="48750.125"/>
  </r>
  <r>
    <x v="15"/>
    <s v="Sep"/>
    <x v="1"/>
    <n v="49244.125"/>
  </r>
  <r>
    <x v="15"/>
    <s v="Ago"/>
    <x v="1"/>
    <n v="49598.5"/>
  </r>
  <r>
    <x v="15"/>
    <s v="Jul"/>
    <x v="1"/>
    <n v="49551.041666666664"/>
  </r>
  <r>
    <x v="15"/>
    <s v="Jun"/>
    <x v="2"/>
    <n v="49627.083333333336"/>
  </r>
  <r>
    <x v="15"/>
    <s v="May"/>
    <x v="2"/>
    <n v="49460.625"/>
  </r>
  <r>
    <x v="15"/>
    <s v="Abr"/>
    <x v="2"/>
    <n v="49216.583333333336"/>
  </r>
  <r>
    <x v="15"/>
    <s v="Mar"/>
    <x v="3"/>
    <n v="48808.458333333336"/>
  </r>
  <r>
    <x v="15"/>
    <s v="Feb"/>
    <x v="3"/>
    <n v="47994.541666666664"/>
  </r>
  <r>
    <x v="15"/>
    <s v="Ene"/>
    <x v="3"/>
    <n v="46959.875"/>
  </r>
  <r>
    <x v="16"/>
    <s v="Dic"/>
    <x v="0"/>
    <n v="45941.833333333336"/>
  </r>
  <r>
    <x v="16"/>
    <s v="Nov"/>
    <x v="0"/>
    <n v="44986.083333333336"/>
  </r>
  <r>
    <x v="16"/>
    <s v="Oct"/>
    <x v="0"/>
    <n v="44610.125"/>
  </r>
  <r>
    <x v="16"/>
    <s v="Sep"/>
    <x v="1"/>
    <n v="43700.416666666664"/>
  </r>
  <r>
    <x v="16"/>
    <s v="Ago"/>
    <x v="1"/>
    <n v="42896.875"/>
  </r>
  <r>
    <x v="16"/>
    <s v="Jul"/>
    <x v="1"/>
    <n v="42789"/>
  </r>
  <r>
    <x v="16"/>
    <s v="Jun"/>
    <x v="2"/>
    <n v="42242.083333333336"/>
  </r>
  <r>
    <x v="16"/>
    <s v="May"/>
    <x v="2"/>
    <n v="41761.208333333336"/>
  </r>
  <r>
    <x v="16"/>
    <s v="Abr"/>
    <x v="2"/>
    <n v="41244.333333333336"/>
  </r>
  <r>
    <x v="16"/>
    <s v="Mar"/>
    <x v="3"/>
    <n v="40741.375"/>
  </r>
  <r>
    <x v="16"/>
    <s v="Feb"/>
    <x v="3"/>
    <n v="40191.541666666664"/>
  </r>
  <r>
    <x v="16"/>
    <s v="Ene"/>
    <x v="3"/>
    <n v="39601.25"/>
  </r>
  <r>
    <x v="17"/>
    <s v="Dic"/>
    <x v="0"/>
    <n v="38842.625"/>
  </r>
  <r>
    <x v="17"/>
    <s v="Nov"/>
    <x v="0"/>
    <n v="38259.916666666664"/>
  </r>
  <r>
    <x v="17"/>
    <s v="Oct"/>
    <x v="0"/>
    <n v="37645.833333333336"/>
  </r>
  <r>
    <x v="17"/>
    <s v="Sep"/>
    <x v="1"/>
    <n v="37192.875"/>
  </r>
  <r>
    <x v="17"/>
    <s v="Ago"/>
    <x v="1"/>
    <n v="36660.416666666664"/>
  </r>
  <r>
    <x v="17"/>
    <s v="Jul"/>
    <x v="1"/>
    <n v="35933"/>
  </r>
  <r>
    <x v="17"/>
    <s v="Jun"/>
    <x v="2"/>
    <n v="35859.583333333336"/>
  </r>
  <r>
    <x v="17"/>
    <s v="May"/>
    <x v="2"/>
    <n v="36088.791666666664"/>
  </r>
  <r>
    <x v="17"/>
    <s v="Abr"/>
    <x v="2"/>
    <n v="36253.791666666664"/>
  </r>
  <r>
    <x v="17"/>
    <s v="Mar"/>
    <x v="3"/>
    <n v="36447.416666666664"/>
  </r>
  <r>
    <x v="17"/>
    <s v="Feb"/>
    <x v="3"/>
    <n v="37079.541666666664"/>
  </r>
  <r>
    <x v="17"/>
    <s v="Ene"/>
    <x v="3"/>
    <n v="37668.416666666664"/>
  </r>
  <r>
    <x v="18"/>
    <s v="Dic"/>
    <x v="0"/>
    <n v="37748.916666666664"/>
  </r>
  <r>
    <x v="18"/>
    <s v="Nov"/>
    <x v="0"/>
    <n v="37448.958333333336"/>
  </r>
  <r>
    <x v="18"/>
    <s v="Oct"/>
    <x v="0"/>
    <n v="36802.375"/>
  </r>
  <r>
    <x v="18"/>
    <s v="Sep"/>
    <x v="1"/>
    <n v="36651.666666666664"/>
  </r>
  <r>
    <x v="18"/>
    <s v="Ago"/>
    <x v="1"/>
    <n v="36568.208333333336"/>
  </r>
  <r>
    <x v="18"/>
    <s v="Jul"/>
    <x v="1"/>
    <n v="35841.791666666664"/>
  </r>
  <r>
    <x v="18"/>
    <s v="Jun"/>
    <x v="2"/>
    <n v="34993"/>
  </r>
  <r>
    <x v="18"/>
    <s v="May"/>
    <x v="2"/>
    <n v="33626.708333333336"/>
  </r>
  <r>
    <x v="18"/>
    <s v="Abr"/>
    <x v="2"/>
    <n v="31980.833333333332"/>
  </r>
  <r>
    <x v="18"/>
    <s v="Mar"/>
    <x v="3"/>
    <n v="30133.25"/>
  </r>
  <r>
    <x v="18"/>
    <s v="Feb"/>
    <x v="3"/>
    <n v="27389"/>
  </r>
  <r>
    <x v="18"/>
    <s v="Ene"/>
    <x v="3"/>
    <n v="24264.666666666668"/>
  </r>
  <r>
    <x v="19"/>
    <s v="Dic"/>
    <x v="0"/>
    <n v="22186"/>
  </r>
  <r>
    <x v="19"/>
    <s v="Nov"/>
    <x v="0"/>
    <n v="20933.708333333332"/>
  </r>
  <r>
    <x v="19"/>
    <s v="Oct"/>
    <x v="0"/>
    <n v="20057.875"/>
  </r>
  <r>
    <x v="19"/>
    <s v="Sep"/>
    <x v="1"/>
    <n v="18948.916666666668"/>
  </r>
  <r>
    <x v="19"/>
    <s v="Ago"/>
    <x v="1"/>
    <n v="17871.958333333332"/>
  </r>
  <r>
    <x v="19"/>
    <s v="Jul"/>
    <x v="1"/>
    <n v="17570.0833333333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709AC-159C-42BD-A59D-FFDB5E4C6934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6" firstHeaderRow="0" firstDataRow="1" firstDataCol="1"/>
  <pivotFields count="15">
    <pivotField showAll="0"/>
    <pivotField axis="axisRow" showAll="0">
      <items count="13">
        <item x="3"/>
        <item x="2"/>
        <item x="1"/>
        <item x="0"/>
        <item x="11"/>
        <item x="10"/>
        <item x="9"/>
        <item x="8"/>
        <item x="7"/>
        <item x="6"/>
        <item x="5"/>
        <item x="4"/>
        <item t="default"/>
      </items>
    </pivotField>
    <pivotField showAll="0"/>
    <pivotField showAll="0"/>
    <pivotField numFmtId="164"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índice estacional salidas" fld="12" subtotal="average" baseField="0" baseItem="0" numFmtId="2"/>
    <dataField name="Promedio de índice estacional llegadas" fld="13" subtotal="average" baseField="0" baseItem="0" numFmtId="2"/>
    <dataField name="Promedio de índice estacional total" fld="14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93FB2-EEFE-4C2E-A305-CC88F1E98C66}" name="TablaDinámica4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C81" firstHeaderRow="1" firstDataRow="1" firstDataCol="2"/>
  <pivotFields count="4">
    <pivotField axis="axisRow" compact="0" outline="0" showAll="0" defaultSubtotal="0">
      <items count="20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2"/>
  </rowFields>
  <rowItems count="78">
    <i>
      <x/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>
      <x v="4"/>
      <x/>
    </i>
    <i r="1">
      <x v="1"/>
    </i>
    <i r="1">
      <x v="2"/>
    </i>
    <i r="1">
      <x v="3"/>
    </i>
    <i>
      <x v="5"/>
      <x/>
    </i>
    <i r="1">
      <x v="1"/>
    </i>
    <i r="1">
      <x v="2"/>
    </i>
    <i r="1">
      <x v="3"/>
    </i>
    <i>
      <x v="6"/>
      <x/>
    </i>
    <i r="1">
      <x v="1"/>
    </i>
    <i r="1">
      <x v="2"/>
    </i>
    <i r="1">
      <x v="3"/>
    </i>
    <i>
      <x v="7"/>
      <x/>
    </i>
    <i r="1">
      <x v="1"/>
    </i>
    <i r="1">
      <x v="2"/>
    </i>
    <i r="1">
      <x v="3"/>
    </i>
    <i>
      <x v="8"/>
      <x/>
    </i>
    <i r="1">
      <x v="1"/>
    </i>
    <i r="1">
      <x v="2"/>
    </i>
    <i r="1">
      <x v="3"/>
    </i>
    <i>
      <x v="9"/>
      <x/>
    </i>
    <i r="1">
      <x v="1"/>
    </i>
    <i r="1">
      <x v="2"/>
    </i>
    <i r="1">
      <x v="3"/>
    </i>
    <i>
      <x v="10"/>
      <x/>
    </i>
    <i r="1">
      <x v="1"/>
    </i>
    <i r="1">
      <x v="2"/>
    </i>
    <i r="1">
      <x v="3"/>
    </i>
    <i>
      <x v="11"/>
      <x/>
    </i>
    <i r="1">
      <x v="1"/>
    </i>
    <i r="1">
      <x v="2"/>
    </i>
    <i r="1">
      <x v="3"/>
    </i>
    <i>
      <x v="12"/>
      <x/>
    </i>
    <i r="1">
      <x v="1"/>
    </i>
    <i r="1">
      <x v="2"/>
    </i>
    <i r="1">
      <x v="3"/>
    </i>
    <i>
      <x v="13"/>
      <x/>
    </i>
    <i r="1">
      <x v="1"/>
    </i>
    <i r="1">
      <x v="2"/>
    </i>
    <i r="1">
      <x v="3"/>
    </i>
    <i>
      <x v="14"/>
      <x/>
    </i>
    <i r="1">
      <x v="1"/>
    </i>
    <i r="1">
      <x v="2"/>
    </i>
    <i r="1">
      <x v="3"/>
    </i>
    <i>
      <x v="15"/>
      <x/>
    </i>
    <i r="1">
      <x v="1"/>
    </i>
    <i r="1">
      <x v="2"/>
    </i>
    <i r="1">
      <x v="3"/>
    </i>
    <i>
      <x v="16"/>
      <x/>
    </i>
    <i r="1">
      <x v="1"/>
    </i>
    <i r="1">
      <x v="2"/>
    </i>
    <i r="1">
      <x v="3"/>
    </i>
    <i>
      <x v="17"/>
      <x/>
    </i>
    <i r="1">
      <x v="1"/>
    </i>
    <i r="1">
      <x v="2"/>
    </i>
    <i r="1">
      <x v="3"/>
    </i>
    <i>
      <x v="18"/>
      <x/>
    </i>
    <i r="1">
      <x v="1"/>
    </i>
    <i r="1">
      <x v="2"/>
    </i>
    <i r="1">
      <x v="3"/>
    </i>
    <i>
      <x v="19"/>
      <x/>
    </i>
    <i r="1">
      <x v="1"/>
    </i>
    <i r="1">
      <x v="2"/>
    </i>
    <i r="1">
      <x v="3"/>
    </i>
  </rowItems>
  <colItems count="1">
    <i/>
  </colItems>
  <dataFields count="1">
    <dataField name="Suma de Media móvil tota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B0CC640-552E-466E-B08C-966570E37029}" autoFormatId="16" applyNumberFormats="0" applyBorderFormats="0" applyFontFormats="0" applyPatternFormats="0" applyAlignmentFormats="0" applyWidthHeightFormats="0">
  <queryTableRefresh nextId="2">
    <queryTableFields count="1">
      <queryTableField id="1" name="Columna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FD5C90-CAB3-4BAF-B4DF-4516CD670B34}" name="Tabla1_1" displayName="Tabla1_1" ref="A1:A45" tableType="queryTable" totalsRowShown="0">
  <autoFilter ref="A1:A45" xr:uid="{00FD5C90-CAB3-4BAF-B4DF-4516CD670B34}"/>
  <tableColumns count="1">
    <tableColumn id="1" xr3:uid="{B8602116-1B0B-4EB2-89A2-1E871B46E2F3}" uniqueName="1" name="Columna1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272"/>
  <sheetViews>
    <sheetView showGridLines="0" topLeftCell="A240" zoomScale="85" workbookViewId="0">
      <selection activeCell="P5" sqref="P5"/>
    </sheetView>
  </sheetViews>
  <sheetFormatPr baseColWidth="10" defaultColWidth="9.109375" defaultRowHeight="12.75" customHeight="1" x14ac:dyDescent="0.25"/>
  <cols>
    <col min="1" max="1" width="7.44140625" bestFit="1" customWidth="1"/>
    <col min="2" max="3" width="12.109375" bestFit="1" customWidth="1"/>
    <col min="4" max="4" width="16.5546875" bestFit="1" customWidth="1"/>
    <col min="11" max="11" width="10.5546875" customWidth="1"/>
  </cols>
  <sheetData>
    <row r="1" spans="1:16" ht="13.2" x14ac:dyDescent="0.25">
      <c r="A1" s="1" t="s">
        <v>0</v>
      </c>
      <c r="K1" t="s">
        <v>1</v>
      </c>
    </row>
    <row r="3" spans="1:16" ht="13.2" x14ac:dyDescent="0.25">
      <c r="A3" s="7" t="s">
        <v>2</v>
      </c>
      <c r="B3" s="46" t="s">
        <v>3</v>
      </c>
      <c r="C3" s="47"/>
      <c r="D3" s="47"/>
      <c r="E3" s="46" t="s">
        <v>4</v>
      </c>
      <c r="F3" s="47"/>
      <c r="G3" s="47"/>
      <c r="H3" s="48" t="s">
        <v>5</v>
      </c>
      <c r="I3" s="47"/>
      <c r="J3" s="47"/>
      <c r="N3" t="s">
        <v>76</v>
      </c>
      <c r="O3" t="s">
        <v>77</v>
      </c>
      <c r="P3" s="13">
        <f>AVERAGE(K5:K272)</f>
        <v>0.50085181120847622</v>
      </c>
    </row>
    <row r="4" spans="1:16" ht="22.5" customHeight="1" x14ac:dyDescent="0.25">
      <c r="A4" s="7" t="s">
        <v>6</v>
      </c>
      <c r="B4" s="7" t="s">
        <v>7</v>
      </c>
      <c r="C4" s="7" t="s">
        <v>8</v>
      </c>
      <c r="D4" s="7" t="s">
        <v>9</v>
      </c>
      <c r="E4" s="7" t="s">
        <v>7</v>
      </c>
      <c r="F4" s="7" t="s">
        <v>8</v>
      </c>
      <c r="G4" s="7" t="s">
        <v>9</v>
      </c>
      <c r="H4" s="7" t="s">
        <v>7</v>
      </c>
      <c r="I4" s="7" t="s">
        <v>8</v>
      </c>
      <c r="J4" s="7" t="s">
        <v>9</v>
      </c>
      <c r="K4" t="s">
        <v>10</v>
      </c>
      <c r="L4" t="s">
        <v>11</v>
      </c>
      <c r="O4" t="s">
        <v>78</v>
      </c>
      <c r="P4" s="13">
        <f>AVERAGE(L5:L272)</f>
        <v>0.49914818879152362</v>
      </c>
    </row>
    <row r="5" spans="1:16" ht="13.2" x14ac:dyDescent="0.25">
      <c r="A5" s="2" t="s">
        <v>12</v>
      </c>
      <c r="B5" s="3">
        <v>31159</v>
      </c>
      <c r="C5" s="3">
        <v>34373</v>
      </c>
      <c r="D5" s="4">
        <v>-9.3503622028918099E-2</v>
      </c>
      <c r="E5" s="3">
        <v>31904</v>
      </c>
      <c r="F5" s="3">
        <v>33270</v>
      </c>
      <c r="G5" s="4">
        <v>-4.10580102194169E-2</v>
      </c>
      <c r="H5" s="5">
        <v>63063</v>
      </c>
      <c r="I5" s="5">
        <v>67643</v>
      </c>
      <c r="J5" s="4">
        <v>-6.7708410330706806E-2</v>
      </c>
      <c r="K5" s="12">
        <f>B5/H5</f>
        <v>0.49409320837892268</v>
      </c>
      <c r="L5" s="12">
        <f>E5/H5</f>
        <v>0.50590679162107732</v>
      </c>
    </row>
    <row r="6" spans="1:16" ht="13.2" x14ac:dyDescent="0.25">
      <c r="A6" s="2" t="s">
        <v>13</v>
      </c>
      <c r="B6" s="3">
        <v>27450</v>
      </c>
      <c r="C6" s="3">
        <v>26445</v>
      </c>
      <c r="D6" s="4">
        <v>3.8003403289846902E-2</v>
      </c>
      <c r="E6" s="3">
        <v>26383</v>
      </c>
      <c r="F6" s="3">
        <v>25715</v>
      </c>
      <c r="G6" s="4">
        <v>2.5977056192883499E-2</v>
      </c>
      <c r="H6" s="5">
        <v>53833</v>
      </c>
      <c r="I6" s="5">
        <v>52160</v>
      </c>
      <c r="J6" s="4">
        <v>3.2074386503067501E-2</v>
      </c>
      <c r="K6" s="12">
        <f t="shared" ref="K6:K69" si="0">B6/H6</f>
        <v>0.50991027808221723</v>
      </c>
      <c r="L6" s="12">
        <f t="shared" ref="L6:L69" si="1">E6/H6</f>
        <v>0.49008972191778277</v>
      </c>
    </row>
    <row r="7" spans="1:16" ht="13.2" x14ac:dyDescent="0.25">
      <c r="A7" s="2" t="s">
        <v>14</v>
      </c>
      <c r="B7" s="3">
        <v>21719</v>
      </c>
      <c r="C7" s="3">
        <v>21807</v>
      </c>
      <c r="D7" s="4">
        <v>-4.0354014765900904E-3</v>
      </c>
      <c r="E7" s="3">
        <v>21766</v>
      </c>
      <c r="F7" s="3">
        <v>22052</v>
      </c>
      <c r="G7" s="4">
        <v>-1.29693451841103E-2</v>
      </c>
      <c r="H7" s="5">
        <v>43485</v>
      </c>
      <c r="I7" s="5">
        <v>43859</v>
      </c>
      <c r="J7" s="4">
        <v>-8.5273262044278306E-3</v>
      </c>
      <c r="K7" s="12">
        <f t="shared" si="0"/>
        <v>0.49945958376451649</v>
      </c>
      <c r="L7" s="12">
        <f t="shared" si="1"/>
        <v>0.50054041623548351</v>
      </c>
    </row>
    <row r="8" spans="1:16" ht="13.2" x14ac:dyDescent="0.25">
      <c r="A8" s="2" t="s">
        <v>15</v>
      </c>
      <c r="B8" s="3">
        <v>23695</v>
      </c>
      <c r="C8" s="3">
        <v>22859</v>
      </c>
      <c r="D8" s="4">
        <v>3.6572028522682501E-2</v>
      </c>
      <c r="E8" s="3">
        <v>22640</v>
      </c>
      <c r="F8" s="3">
        <v>21181</v>
      </c>
      <c r="G8" s="4">
        <v>6.8882489023181198E-2</v>
      </c>
      <c r="H8" s="5">
        <v>46335</v>
      </c>
      <c r="I8" s="5">
        <v>44040</v>
      </c>
      <c r="J8" s="4">
        <v>5.2111716621253398E-2</v>
      </c>
      <c r="K8" s="12">
        <f t="shared" si="0"/>
        <v>0.5113844825725693</v>
      </c>
      <c r="L8" s="12">
        <f t="shared" si="1"/>
        <v>0.48861551742743065</v>
      </c>
    </row>
    <row r="9" spans="1:16" ht="13.2" x14ac:dyDescent="0.25">
      <c r="A9" s="2" t="s">
        <v>16</v>
      </c>
      <c r="B9" s="3">
        <v>25076</v>
      </c>
      <c r="C9" s="3">
        <v>26713</v>
      </c>
      <c r="D9" s="4">
        <v>-6.1281024220417001E-2</v>
      </c>
      <c r="E9" s="3">
        <v>26116</v>
      </c>
      <c r="F9" s="3">
        <v>27911</v>
      </c>
      <c r="G9" s="4">
        <v>-6.4311561749847701E-2</v>
      </c>
      <c r="H9" s="5">
        <v>51192</v>
      </c>
      <c r="I9" s="5">
        <v>54624</v>
      </c>
      <c r="J9" s="4">
        <v>-6.2829525483304005E-2</v>
      </c>
      <c r="K9" s="12">
        <f t="shared" si="0"/>
        <v>0.48984216283794341</v>
      </c>
      <c r="L9" s="12">
        <f t="shared" si="1"/>
        <v>0.51015783716205654</v>
      </c>
    </row>
    <row r="10" spans="1:16" ht="13.2" x14ac:dyDescent="0.25">
      <c r="A10" s="2" t="s">
        <v>17</v>
      </c>
      <c r="B10" s="3">
        <v>24038</v>
      </c>
      <c r="C10" s="3">
        <v>24075</v>
      </c>
      <c r="D10" s="4">
        <v>-1.5368639667705101E-3</v>
      </c>
      <c r="E10" s="3">
        <v>23861</v>
      </c>
      <c r="F10" s="3">
        <v>24268</v>
      </c>
      <c r="G10" s="4">
        <v>-1.6771056535355201E-2</v>
      </c>
      <c r="H10" s="5">
        <v>47899</v>
      </c>
      <c r="I10" s="5">
        <v>48343</v>
      </c>
      <c r="J10" s="4">
        <v>-9.18437002254722E-3</v>
      </c>
      <c r="K10" s="12">
        <f t="shared" si="0"/>
        <v>0.50184763773773988</v>
      </c>
      <c r="L10" s="12">
        <f t="shared" si="1"/>
        <v>0.49815236226226017</v>
      </c>
    </row>
    <row r="11" spans="1:16" ht="13.2" x14ac:dyDescent="0.25">
      <c r="A11" s="2" t="s">
        <v>18</v>
      </c>
      <c r="B11" s="3">
        <v>33094</v>
      </c>
      <c r="C11" s="3">
        <v>30632</v>
      </c>
      <c r="D11" s="4">
        <v>8.0373465656829499E-2</v>
      </c>
      <c r="E11" s="3">
        <v>33174</v>
      </c>
      <c r="F11" s="3">
        <v>31329</v>
      </c>
      <c r="G11" s="4">
        <v>5.8891123240448102E-2</v>
      </c>
      <c r="H11" s="5">
        <v>66268</v>
      </c>
      <c r="I11" s="5">
        <v>61961</v>
      </c>
      <c r="J11" s="4">
        <v>6.9511466890463294E-2</v>
      </c>
      <c r="K11" s="12">
        <f t="shared" si="0"/>
        <v>0.49939639041467976</v>
      </c>
      <c r="L11" s="12">
        <f t="shared" si="1"/>
        <v>0.50060360958532024</v>
      </c>
    </row>
    <row r="12" spans="1:16" ht="13.2" x14ac:dyDescent="0.25">
      <c r="A12" s="2" t="s">
        <v>19</v>
      </c>
      <c r="B12" s="3">
        <v>30295</v>
      </c>
      <c r="C12" s="3">
        <v>31254</v>
      </c>
      <c r="D12" s="4">
        <v>-3.06840724387278E-2</v>
      </c>
      <c r="E12" s="3">
        <v>32984</v>
      </c>
      <c r="F12" s="3">
        <v>33370</v>
      </c>
      <c r="G12" s="4">
        <v>-1.1567275996403999E-2</v>
      </c>
      <c r="H12" s="5">
        <v>63279</v>
      </c>
      <c r="I12" s="5">
        <v>64624</v>
      </c>
      <c r="J12" s="4">
        <v>-2.0812701163654398E-2</v>
      </c>
      <c r="K12" s="12">
        <f t="shared" si="0"/>
        <v>0.47875282479179504</v>
      </c>
      <c r="L12" s="12">
        <f t="shared" si="1"/>
        <v>0.52124717520820496</v>
      </c>
    </row>
    <row r="13" spans="1:16" ht="13.2" x14ac:dyDescent="0.25">
      <c r="A13" s="2" t="s">
        <v>20</v>
      </c>
      <c r="B13" s="3">
        <v>36790</v>
      </c>
      <c r="C13" s="3">
        <v>35186</v>
      </c>
      <c r="D13" s="4">
        <v>4.5586312738020801E-2</v>
      </c>
      <c r="E13" s="3">
        <v>37144</v>
      </c>
      <c r="F13" s="3">
        <v>35950</v>
      </c>
      <c r="G13" s="4">
        <v>3.3212795549374098E-2</v>
      </c>
      <c r="H13" s="5">
        <v>73934</v>
      </c>
      <c r="I13" s="5">
        <v>71136</v>
      </c>
      <c r="J13" s="4">
        <v>3.9333108412055798E-2</v>
      </c>
      <c r="K13" s="12">
        <f t="shared" si="0"/>
        <v>0.49760597289474395</v>
      </c>
      <c r="L13" s="12">
        <f t="shared" si="1"/>
        <v>0.50239402710525605</v>
      </c>
    </row>
    <row r="14" spans="1:16" ht="13.2" x14ac:dyDescent="0.25">
      <c r="A14" s="2" t="s">
        <v>21</v>
      </c>
      <c r="B14" s="3">
        <v>36520</v>
      </c>
      <c r="C14" s="3">
        <v>34007</v>
      </c>
      <c r="D14" s="4">
        <v>7.3896550710147904E-2</v>
      </c>
      <c r="E14" s="3">
        <v>34544</v>
      </c>
      <c r="F14" s="3">
        <v>32485</v>
      </c>
      <c r="G14" s="4">
        <v>6.3383099892258002E-2</v>
      </c>
      <c r="H14" s="5">
        <v>71064</v>
      </c>
      <c r="I14" s="5">
        <v>66492</v>
      </c>
      <c r="J14" s="4">
        <v>6.8760151597184599E-2</v>
      </c>
      <c r="K14" s="12">
        <f t="shared" si="0"/>
        <v>0.51390296071147135</v>
      </c>
      <c r="L14" s="12">
        <f t="shared" si="1"/>
        <v>0.48609703928852865</v>
      </c>
    </row>
    <row r="15" spans="1:16" ht="13.2" x14ac:dyDescent="0.25">
      <c r="A15" s="2" t="s">
        <v>22</v>
      </c>
      <c r="B15" s="3">
        <v>31883</v>
      </c>
      <c r="C15" s="3">
        <v>33781</v>
      </c>
      <c r="D15" s="4">
        <v>-5.6185429679405603E-2</v>
      </c>
      <c r="E15" s="3">
        <v>29410</v>
      </c>
      <c r="F15" s="3">
        <v>31224</v>
      </c>
      <c r="G15" s="4">
        <v>-5.8096336151678203E-2</v>
      </c>
      <c r="H15" s="5">
        <v>61293</v>
      </c>
      <c r="I15" s="5">
        <v>65005</v>
      </c>
      <c r="J15" s="4">
        <v>-5.7103299746173397E-2</v>
      </c>
      <c r="K15" s="12">
        <f t="shared" si="0"/>
        <v>0.52017359241675232</v>
      </c>
      <c r="L15" s="12">
        <f t="shared" si="1"/>
        <v>0.47982640758324768</v>
      </c>
    </row>
    <row r="16" spans="1:16" ht="13.2" x14ac:dyDescent="0.25">
      <c r="A16" s="2" t="s">
        <v>23</v>
      </c>
      <c r="B16" s="3">
        <v>32119</v>
      </c>
      <c r="C16" s="3">
        <v>30385</v>
      </c>
      <c r="D16" s="4">
        <v>5.7067632055290397E-2</v>
      </c>
      <c r="E16" s="3">
        <v>32743</v>
      </c>
      <c r="F16" s="3">
        <v>30194</v>
      </c>
      <c r="G16" s="4">
        <v>8.44207458435451E-2</v>
      </c>
      <c r="H16" s="5">
        <v>64862</v>
      </c>
      <c r="I16" s="5">
        <v>60579</v>
      </c>
      <c r="J16" s="4">
        <v>7.0701068026873995E-2</v>
      </c>
      <c r="K16" s="12">
        <f t="shared" si="0"/>
        <v>0.4951897875489501</v>
      </c>
      <c r="L16" s="12">
        <f t="shared" si="1"/>
        <v>0.50481021245104996</v>
      </c>
    </row>
    <row r="17" spans="1:12" ht="13.2" x14ac:dyDescent="0.25">
      <c r="A17" s="2" t="s">
        <v>24</v>
      </c>
      <c r="B17" s="3">
        <v>34373</v>
      </c>
      <c r="C17" s="3">
        <v>29458</v>
      </c>
      <c r="D17" s="4">
        <v>0.166847715391405</v>
      </c>
      <c r="E17" s="3">
        <v>33270</v>
      </c>
      <c r="F17" s="3">
        <v>30071</v>
      </c>
      <c r="G17" s="4">
        <v>0.106381563632736</v>
      </c>
      <c r="H17" s="5">
        <v>67643</v>
      </c>
      <c r="I17" s="5">
        <v>59529</v>
      </c>
      <c r="J17" s="4">
        <v>0.136303314350989</v>
      </c>
      <c r="K17" s="12">
        <f t="shared" si="0"/>
        <v>0.50815309788152507</v>
      </c>
      <c r="L17" s="12">
        <f t="shared" si="1"/>
        <v>0.49184690211847493</v>
      </c>
    </row>
    <row r="18" spans="1:12" ht="13.2" x14ac:dyDescent="0.25">
      <c r="A18" s="2" t="s">
        <v>25</v>
      </c>
      <c r="B18" s="3">
        <v>26445</v>
      </c>
      <c r="C18" s="3">
        <v>27621</v>
      </c>
      <c r="D18" s="4">
        <v>-4.25763006408168E-2</v>
      </c>
      <c r="E18" s="3">
        <v>25715</v>
      </c>
      <c r="F18" s="3">
        <v>26949</v>
      </c>
      <c r="G18" s="4">
        <v>-4.57901962967086E-2</v>
      </c>
      <c r="H18" s="5">
        <v>52160</v>
      </c>
      <c r="I18" s="5">
        <v>54570</v>
      </c>
      <c r="J18" s="4">
        <v>-4.4163459776433898E-2</v>
      </c>
      <c r="K18" s="12">
        <f t="shared" si="0"/>
        <v>0.50699769938650308</v>
      </c>
      <c r="L18" s="12">
        <f t="shared" si="1"/>
        <v>0.49300230061349692</v>
      </c>
    </row>
    <row r="19" spans="1:12" ht="13.2" x14ac:dyDescent="0.25">
      <c r="A19" s="2" t="s">
        <v>26</v>
      </c>
      <c r="B19" s="3">
        <v>21807</v>
      </c>
      <c r="C19" s="3">
        <v>20941</v>
      </c>
      <c r="D19" s="4">
        <v>4.1354281075402302E-2</v>
      </c>
      <c r="E19" s="3">
        <v>22052</v>
      </c>
      <c r="F19" s="3">
        <v>20982</v>
      </c>
      <c r="G19" s="4">
        <v>5.0996091888285203E-2</v>
      </c>
      <c r="H19" s="5">
        <v>43859</v>
      </c>
      <c r="I19" s="5">
        <v>41923</v>
      </c>
      <c r="J19" s="4">
        <v>4.6179901247525197E-2</v>
      </c>
      <c r="K19" s="12">
        <f t="shared" si="0"/>
        <v>0.4972069586629882</v>
      </c>
      <c r="L19" s="12">
        <f t="shared" si="1"/>
        <v>0.50279304133701175</v>
      </c>
    </row>
    <row r="20" spans="1:12" ht="13.2" x14ac:dyDescent="0.25">
      <c r="A20" s="2" t="s">
        <v>27</v>
      </c>
      <c r="B20" s="3">
        <v>22859</v>
      </c>
      <c r="C20" s="3">
        <v>23338</v>
      </c>
      <c r="D20" s="4">
        <v>-2.05244665352644E-2</v>
      </c>
      <c r="E20" s="3">
        <v>21181</v>
      </c>
      <c r="F20" s="3">
        <v>22113</v>
      </c>
      <c r="G20" s="4">
        <v>-4.2147153258264403E-2</v>
      </c>
      <c r="H20" s="5">
        <v>44040</v>
      </c>
      <c r="I20" s="5">
        <v>45451</v>
      </c>
      <c r="J20" s="4">
        <v>-3.1044421464874301E-2</v>
      </c>
      <c r="K20" s="12">
        <f t="shared" si="0"/>
        <v>0.51905086285195279</v>
      </c>
      <c r="L20" s="12">
        <f t="shared" si="1"/>
        <v>0.48094913714804721</v>
      </c>
    </row>
    <row r="21" spans="1:12" ht="13.2" x14ac:dyDescent="0.25">
      <c r="A21" s="2" t="s">
        <v>28</v>
      </c>
      <c r="B21" s="3">
        <v>26713</v>
      </c>
      <c r="C21" s="3">
        <v>24925</v>
      </c>
      <c r="D21" s="4">
        <v>7.1735205616850498E-2</v>
      </c>
      <c r="E21" s="3">
        <v>27911</v>
      </c>
      <c r="F21" s="3">
        <v>25139</v>
      </c>
      <c r="G21" s="4">
        <v>0.110266915947333</v>
      </c>
      <c r="H21" s="5">
        <v>54624</v>
      </c>
      <c r="I21" s="5">
        <v>50064</v>
      </c>
      <c r="J21" s="4">
        <v>9.1083413231064198E-2</v>
      </c>
      <c r="K21" s="12">
        <f t="shared" si="0"/>
        <v>0.48903412419449327</v>
      </c>
      <c r="L21" s="12">
        <f t="shared" si="1"/>
        <v>0.51096587580550679</v>
      </c>
    </row>
    <row r="22" spans="1:12" ht="13.2" x14ac:dyDescent="0.25">
      <c r="A22" s="2" t="s">
        <v>29</v>
      </c>
      <c r="B22" s="3">
        <v>24075</v>
      </c>
      <c r="C22" s="3">
        <v>20567</v>
      </c>
      <c r="D22" s="4">
        <v>0.17056449652355701</v>
      </c>
      <c r="E22" s="3">
        <v>24268</v>
      </c>
      <c r="F22" s="3">
        <v>19967</v>
      </c>
      <c r="G22" s="4">
        <v>0.21540541894125301</v>
      </c>
      <c r="H22" s="5">
        <v>48343</v>
      </c>
      <c r="I22" s="5">
        <v>40534</v>
      </c>
      <c r="J22" s="4">
        <v>0.192653081363793</v>
      </c>
      <c r="K22" s="12">
        <f t="shared" si="0"/>
        <v>0.49800384750636079</v>
      </c>
      <c r="L22" s="12">
        <f t="shared" si="1"/>
        <v>0.50199615249363916</v>
      </c>
    </row>
    <row r="23" spans="1:12" ht="13.2" x14ac:dyDescent="0.25">
      <c r="A23" s="2" t="s">
        <v>30</v>
      </c>
      <c r="B23" s="3">
        <v>30632</v>
      </c>
      <c r="C23" s="3">
        <v>29371</v>
      </c>
      <c r="D23" s="4">
        <v>4.2933505839093E-2</v>
      </c>
      <c r="E23" s="3">
        <v>31329</v>
      </c>
      <c r="F23" s="3">
        <v>30350</v>
      </c>
      <c r="G23" s="4">
        <v>3.22570016474465E-2</v>
      </c>
      <c r="H23" s="5">
        <v>61961</v>
      </c>
      <c r="I23" s="5">
        <v>59721</v>
      </c>
      <c r="J23" s="4">
        <v>3.7507744344535403E-2</v>
      </c>
      <c r="K23" s="12">
        <f t="shared" si="0"/>
        <v>0.49437549426251998</v>
      </c>
      <c r="L23" s="12">
        <f t="shared" si="1"/>
        <v>0.50562450573748008</v>
      </c>
    </row>
    <row r="24" spans="1:12" ht="13.2" x14ac:dyDescent="0.25">
      <c r="A24" s="2" t="s">
        <v>31</v>
      </c>
      <c r="B24" s="3">
        <v>31254</v>
      </c>
      <c r="C24" s="3">
        <v>30245</v>
      </c>
      <c r="D24" s="4">
        <v>3.33608860968755E-2</v>
      </c>
      <c r="E24" s="3">
        <v>33370</v>
      </c>
      <c r="F24" s="3">
        <v>31757</v>
      </c>
      <c r="G24" s="4">
        <v>5.0791951380797902E-2</v>
      </c>
      <c r="H24" s="5">
        <v>64624</v>
      </c>
      <c r="I24" s="5">
        <v>62002</v>
      </c>
      <c r="J24" s="4">
        <v>4.2288958420696098E-2</v>
      </c>
      <c r="K24" s="12">
        <f t="shared" si="0"/>
        <v>0.48362837335974251</v>
      </c>
      <c r="L24" s="12">
        <f t="shared" si="1"/>
        <v>0.51637162664025749</v>
      </c>
    </row>
    <row r="25" spans="1:12" ht="13.2" x14ac:dyDescent="0.25">
      <c r="A25" s="2" t="s">
        <v>32</v>
      </c>
      <c r="B25" s="3">
        <v>35186</v>
      </c>
      <c r="C25" s="3">
        <v>36717</v>
      </c>
      <c r="D25" s="4">
        <v>-4.1697306424816803E-2</v>
      </c>
      <c r="E25" s="3">
        <v>35950</v>
      </c>
      <c r="F25" s="3">
        <v>36279</v>
      </c>
      <c r="G25" s="4">
        <v>-9.0686071832189394E-3</v>
      </c>
      <c r="H25" s="5">
        <v>71136</v>
      </c>
      <c r="I25" s="5">
        <v>72996</v>
      </c>
      <c r="J25" s="4">
        <v>-2.5480848265658398E-2</v>
      </c>
      <c r="K25" s="12">
        <f t="shared" si="0"/>
        <v>0.49463000449842554</v>
      </c>
      <c r="L25" s="12">
        <f t="shared" si="1"/>
        <v>0.50536999550157446</v>
      </c>
    </row>
    <row r="26" spans="1:12" ht="13.2" x14ac:dyDescent="0.25">
      <c r="A26" s="2" t="s">
        <v>33</v>
      </c>
      <c r="B26" s="3">
        <v>34007</v>
      </c>
      <c r="C26" s="3">
        <v>36009</v>
      </c>
      <c r="D26" s="4">
        <v>-5.5597211808159103E-2</v>
      </c>
      <c r="E26" s="3">
        <v>32485</v>
      </c>
      <c r="F26" s="3">
        <v>35358</v>
      </c>
      <c r="G26" s="4">
        <v>-8.1254595848181496E-2</v>
      </c>
      <c r="H26" s="5">
        <v>66492</v>
      </c>
      <c r="I26" s="5">
        <v>71367</v>
      </c>
      <c r="J26" s="4">
        <v>-6.8308882256505096E-2</v>
      </c>
      <c r="K26" s="12">
        <f t="shared" si="0"/>
        <v>0.51144498586296094</v>
      </c>
      <c r="L26" s="12">
        <f t="shared" si="1"/>
        <v>0.48855501413703906</v>
      </c>
    </row>
    <row r="27" spans="1:12" ht="13.2" x14ac:dyDescent="0.25">
      <c r="A27" s="2" t="s">
        <v>34</v>
      </c>
      <c r="B27" s="3">
        <v>33781</v>
      </c>
      <c r="C27" s="3">
        <v>30584</v>
      </c>
      <c r="D27" s="4">
        <v>0.104531781323568</v>
      </c>
      <c r="E27" s="3">
        <v>31224</v>
      </c>
      <c r="F27" s="3">
        <v>27863</v>
      </c>
      <c r="G27" s="4">
        <v>0.12062591967842699</v>
      </c>
      <c r="H27" s="5">
        <v>65005</v>
      </c>
      <c r="I27" s="5">
        <v>58447</v>
      </c>
      <c r="J27" s="4">
        <v>0.112204219207145</v>
      </c>
      <c r="K27" s="12">
        <f t="shared" si="0"/>
        <v>0.51966771786785637</v>
      </c>
      <c r="L27" s="12">
        <f t="shared" si="1"/>
        <v>0.48033228213214368</v>
      </c>
    </row>
    <row r="28" spans="1:12" ht="13.2" x14ac:dyDescent="0.25">
      <c r="A28" s="2" t="s">
        <v>35</v>
      </c>
      <c r="B28" s="3">
        <v>30385</v>
      </c>
      <c r="C28" s="3">
        <v>27295</v>
      </c>
      <c r="D28" s="4">
        <v>0.113207547169811</v>
      </c>
      <c r="E28" s="3">
        <v>30194</v>
      </c>
      <c r="F28" s="3">
        <v>27132</v>
      </c>
      <c r="G28" s="4">
        <v>0.112855668583223</v>
      </c>
      <c r="H28" s="5">
        <v>60579</v>
      </c>
      <c r="I28" s="5">
        <v>54427</v>
      </c>
      <c r="J28" s="4">
        <v>0.113032134786044</v>
      </c>
      <c r="K28" s="12">
        <f t="shared" si="0"/>
        <v>0.50157645388666039</v>
      </c>
      <c r="L28" s="12">
        <f t="shared" si="1"/>
        <v>0.49842354611333961</v>
      </c>
    </row>
    <row r="29" spans="1:12" ht="13.2" x14ac:dyDescent="0.25">
      <c r="A29" s="2" t="s">
        <v>36</v>
      </c>
      <c r="B29" s="3">
        <v>29458</v>
      </c>
      <c r="C29" s="3">
        <v>32288</v>
      </c>
      <c r="D29" s="4">
        <v>-8.76486620416254E-2</v>
      </c>
      <c r="E29" s="3">
        <v>30071</v>
      </c>
      <c r="F29" s="3">
        <v>32260</v>
      </c>
      <c r="G29" s="4">
        <v>-6.7854928704277701E-2</v>
      </c>
      <c r="H29" s="5">
        <v>59529</v>
      </c>
      <c r="I29" s="5">
        <v>64548</v>
      </c>
      <c r="J29" s="4">
        <v>-7.7756088492284797E-2</v>
      </c>
      <c r="K29" s="12">
        <f t="shared" si="0"/>
        <v>0.49485124897108973</v>
      </c>
      <c r="L29" s="12">
        <f t="shared" si="1"/>
        <v>0.50514875102891033</v>
      </c>
    </row>
    <row r="30" spans="1:12" ht="13.2" x14ac:dyDescent="0.25">
      <c r="A30" s="2" t="s">
        <v>37</v>
      </c>
      <c r="B30" s="3">
        <v>27621</v>
      </c>
      <c r="C30" s="3">
        <v>27639</v>
      </c>
      <c r="D30" s="4">
        <v>-6.5125366330185601E-4</v>
      </c>
      <c r="E30" s="3">
        <v>26949</v>
      </c>
      <c r="F30" s="3">
        <v>26392</v>
      </c>
      <c r="G30" s="4">
        <v>2.1104880266747499E-2</v>
      </c>
      <c r="H30" s="5">
        <v>54570</v>
      </c>
      <c r="I30" s="5">
        <v>54031</v>
      </c>
      <c r="J30" s="4">
        <v>9.9757546593622192E-3</v>
      </c>
      <c r="K30" s="12">
        <f t="shared" si="0"/>
        <v>0.50615722924683892</v>
      </c>
      <c r="L30" s="12">
        <f t="shared" si="1"/>
        <v>0.49384277075316108</v>
      </c>
    </row>
    <row r="31" spans="1:12" ht="13.2" x14ac:dyDescent="0.25">
      <c r="A31" s="2" t="s">
        <v>38</v>
      </c>
      <c r="B31" s="3">
        <v>20941</v>
      </c>
      <c r="C31" s="3">
        <v>22621</v>
      </c>
      <c r="D31" s="4">
        <v>-7.4267273772158596E-2</v>
      </c>
      <c r="E31" s="3">
        <v>20982</v>
      </c>
      <c r="F31" s="3">
        <v>23591</v>
      </c>
      <c r="G31" s="4">
        <v>-0.11059302276291801</v>
      </c>
      <c r="H31" s="5">
        <v>41923</v>
      </c>
      <c r="I31" s="5">
        <v>46212</v>
      </c>
      <c r="J31" s="4">
        <v>-9.2811390980697697E-2</v>
      </c>
      <c r="K31" s="12">
        <f t="shared" si="0"/>
        <v>0.49951100827707939</v>
      </c>
      <c r="L31" s="12">
        <f t="shared" si="1"/>
        <v>0.50048899172292061</v>
      </c>
    </row>
    <row r="32" spans="1:12" ht="13.2" x14ac:dyDescent="0.25">
      <c r="A32" s="2" t="s">
        <v>39</v>
      </c>
      <c r="B32" s="3">
        <v>23338</v>
      </c>
      <c r="C32" s="3">
        <v>25886</v>
      </c>
      <c r="D32" s="4">
        <v>-9.8431584640346098E-2</v>
      </c>
      <c r="E32" s="3">
        <v>22113</v>
      </c>
      <c r="F32" s="3">
        <v>25455</v>
      </c>
      <c r="G32" s="4">
        <v>-0.13129051266941699</v>
      </c>
      <c r="H32" s="5">
        <v>45451</v>
      </c>
      <c r="I32" s="5">
        <v>51341</v>
      </c>
      <c r="J32" s="4">
        <v>-0.114723125766931</v>
      </c>
      <c r="K32" s="12">
        <f t="shared" si="0"/>
        <v>0.51347605113198824</v>
      </c>
      <c r="L32" s="12">
        <f t="shared" si="1"/>
        <v>0.4865239488680117</v>
      </c>
    </row>
    <row r="33" spans="1:12" ht="13.2" x14ac:dyDescent="0.25">
      <c r="A33" s="2" t="s">
        <v>40</v>
      </c>
      <c r="B33" s="3">
        <v>24925</v>
      </c>
      <c r="C33" s="3">
        <v>26703</v>
      </c>
      <c r="D33" s="4">
        <v>-6.6584278919971499E-2</v>
      </c>
      <c r="E33" s="3">
        <v>25139</v>
      </c>
      <c r="F33" s="3">
        <v>27638</v>
      </c>
      <c r="G33" s="4">
        <v>-9.0418988349374105E-2</v>
      </c>
      <c r="H33" s="5">
        <v>50064</v>
      </c>
      <c r="I33" s="5">
        <v>54341</v>
      </c>
      <c r="J33" s="4">
        <v>-7.8706685559706294E-2</v>
      </c>
      <c r="K33" s="12">
        <f t="shared" si="0"/>
        <v>0.49786273569830619</v>
      </c>
      <c r="L33" s="12">
        <f t="shared" si="1"/>
        <v>0.50213726430169381</v>
      </c>
    </row>
    <row r="34" spans="1:12" ht="13.2" x14ac:dyDescent="0.25">
      <c r="A34" s="2" t="s">
        <v>41</v>
      </c>
      <c r="B34" s="3">
        <v>20567</v>
      </c>
      <c r="C34" s="3">
        <v>22780</v>
      </c>
      <c r="D34" s="4">
        <v>-9.7146619841966597E-2</v>
      </c>
      <c r="E34" s="3">
        <v>19967</v>
      </c>
      <c r="F34" s="3">
        <v>22140</v>
      </c>
      <c r="G34" s="4">
        <v>-9.8148148148148096E-2</v>
      </c>
      <c r="H34" s="5">
        <v>40534</v>
      </c>
      <c r="I34" s="5">
        <v>44920</v>
      </c>
      <c r="J34" s="4">
        <v>-9.7640249332146004E-2</v>
      </c>
      <c r="K34" s="12">
        <f t="shared" si="0"/>
        <v>0.50740119405930828</v>
      </c>
      <c r="L34" s="12">
        <f t="shared" si="1"/>
        <v>0.49259880594069178</v>
      </c>
    </row>
    <row r="35" spans="1:12" ht="13.2" x14ac:dyDescent="0.25">
      <c r="A35" s="2" t="s">
        <v>42</v>
      </c>
      <c r="B35" s="3">
        <v>29371</v>
      </c>
      <c r="C35" s="3">
        <v>29313</v>
      </c>
      <c r="D35" s="4">
        <v>1.9786442875174802E-3</v>
      </c>
      <c r="E35" s="3">
        <v>30350</v>
      </c>
      <c r="F35" s="3">
        <v>29538</v>
      </c>
      <c r="G35" s="4">
        <v>2.7490012864784301E-2</v>
      </c>
      <c r="H35" s="5">
        <v>59721</v>
      </c>
      <c r="I35" s="5">
        <v>58851</v>
      </c>
      <c r="J35" s="4">
        <v>1.47830962940307E-2</v>
      </c>
      <c r="K35" s="12">
        <f t="shared" si="0"/>
        <v>0.49180355318899549</v>
      </c>
      <c r="L35" s="12">
        <f t="shared" si="1"/>
        <v>0.50819644681100451</v>
      </c>
    </row>
    <row r="36" spans="1:12" ht="13.2" x14ac:dyDescent="0.25">
      <c r="A36" s="2" t="s">
        <v>43</v>
      </c>
      <c r="B36" s="3">
        <v>30245</v>
      </c>
      <c r="C36" s="3">
        <v>29796</v>
      </c>
      <c r="D36" s="4">
        <v>1.5069136796885501E-2</v>
      </c>
      <c r="E36" s="3">
        <v>31757</v>
      </c>
      <c r="F36" s="3">
        <v>31483</v>
      </c>
      <c r="G36" s="4">
        <v>8.7031096147126997E-3</v>
      </c>
      <c r="H36" s="5">
        <v>62002</v>
      </c>
      <c r="I36" s="5">
        <v>61279</v>
      </c>
      <c r="J36" s="4">
        <v>1.17984954062566E-2</v>
      </c>
      <c r="K36" s="12">
        <f t="shared" si="0"/>
        <v>0.48780684494048582</v>
      </c>
      <c r="L36" s="12">
        <f t="shared" si="1"/>
        <v>0.51219315505951424</v>
      </c>
    </row>
    <row r="37" spans="1:12" ht="13.2" x14ac:dyDescent="0.25">
      <c r="A37" s="2" t="s">
        <v>44</v>
      </c>
      <c r="B37" s="3">
        <v>36717</v>
      </c>
      <c r="C37" s="3">
        <v>36296</v>
      </c>
      <c r="D37" s="4">
        <v>1.1599074278157401E-2</v>
      </c>
      <c r="E37" s="3">
        <v>36279</v>
      </c>
      <c r="F37" s="3">
        <v>35856</v>
      </c>
      <c r="G37" s="4">
        <v>1.17971887550201E-2</v>
      </c>
      <c r="H37" s="5">
        <v>72996</v>
      </c>
      <c r="I37" s="5">
        <v>72152</v>
      </c>
      <c r="J37" s="4">
        <v>1.16975274420667E-2</v>
      </c>
      <c r="K37" s="12">
        <f t="shared" si="0"/>
        <v>0.50300016439256945</v>
      </c>
      <c r="L37" s="12">
        <f t="shared" si="1"/>
        <v>0.49699983560743055</v>
      </c>
    </row>
    <row r="38" spans="1:12" ht="13.2" x14ac:dyDescent="0.25">
      <c r="A38" s="2" t="s">
        <v>45</v>
      </c>
      <c r="B38" s="3">
        <v>36009</v>
      </c>
      <c r="C38" s="3">
        <v>35141</v>
      </c>
      <c r="D38" s="4">
        <v>2.47004923024387E-2</v>
      </c>
      <c r="E38" s="3">
        <v>35358</v>
      </c>
      <c r="F38" s="3">
        <v>34342</v>
      </c>
      <c r="G38" s="4">
        <v>2.9584765010773999E-2</v>
      </c>
      <c r="H38" s="5">
        <v>71367</v>
      </c>
      <c r="I38" s="5">
        <v>69483</v>
      </c>
      <c r="J38" s="4">
        <v>2.71145460040585E-2</v>
      </c>
      <c r="K38" s="12">
        <f t="shared" si="0"/>
        <v>0.50456093152297277</v>
      </c>
      <c r="L38" s="12">
        <f t="shared" si="1"/>
        <v>0.49543906847702718</v>
      </c>
    </row>
    <row r="39" spans="1:12" ht="13.2" x14ac:dyDescent="0.25">
      <c r="A39" s="2" t="s">
        <v>46</v>
      </c>
      <c r="B39" s="3">
        <v>30584</v>
      </c>
      <c r="C39" s="3">
        <v>33165</v>
      </c>
      <c r="D39" s="4">
        <v>-7.7823006181215099E-2</v>
      </c>
      <c r="E39" s="3">
        <v>27863</v>
      </c>
      <c r="F39" s="3">
        <v>29094</v>
      </c>
      <c r="G39" s="4">
        <v>-4.2311129442496702E-2</v>
      </c>
      <c r="H39" s="5">
        <v>58447</v>
      </c>
      <c r="I39" s="5">
        <v>62259</v>
      </c>
      <c r="J39" s="4">
        <v>-6.1228095536388298E-2</v>
      </c>
      <c r="K39" s="12">
        <f t="shared" si="0"/>
        <v>0.5232774992728455</v>
      </c>
      <c r="L39" s="12">
        <f t="shared" si="1"/>
        <v>0.4767225007271545</v>
      </c>
    </row>
    <row r="40" spans="1:12" ht="13.2" x14ac:dyDescent="0.25">
      <c r="A40" s="2" t="s">
        <v>47</v>
      </c>
      <c r="B40" s="3">
        <v>27295</v>
      </c>
      <c r="C40" s="3">
        <v>25377</v>
      </c>
      <c r="D40" s="4">
        <v>7.5580249832525495E-2</v>
      </c>
      <c r="E40" s="3">
        <v>27132</v>
      </c>
      <c r="F40" s="3">
        <v>25706</v>
      </c>
      <c r="G40" s="4">
        <v>5.5473430327549998E-2</v>
      </c>
      <c r="H40" s="5">
        <v>54427</v>
      </c>
      <c r="I40" s="5">
        <v>51083</v>
      </c>
      <c r="J40" s="4">
        <v>6.5462091106630399E-2</v>
      </c>
      <c r="K40" s="12">
        <f t="shared" si="0"/>
        <v>0.5014974185606409</v>
      </c>
      <c r="L40" s="12">
        <f t="shared" si="1"/>
        <v>0.49850258143935916</v>
      </c>
    </row>
    <row r="41" spans="1:12" ht="13.2" x14ac:dyDescent="0.25">
      <c r="A41" s="2" t="s">
        <v>48</v>
      </c>
      <c r="B41" s="3">
        <v>32288</v>
      </c>
      <c r="C41" s="3">
        <v>27046</v>
      </c>
      <c r="D41" s="4">
        <v>0.193817939806256</v>
      </c>
      <c r="E41" s="3">
        <v>32260</v>
      </c>
      <c r="F41" s="3">
        <v>25908</v>
      </c>
      <c r="G41" s="4">
        <v>0.24517523544851</v>
      </c>
      <c r="H41" s="5">
        <v>64548</v>
      </c>
      <c r="I41" s="5">
        <v>52954</v>
      </c>
      <c r="J41" s="4">
        <v>0.218944744495222</v>
      </c>
      <c r="K41" s="12">
        <f t="shared" si="0"/>
        <v>0.50021689285492965</v>
      </c>
      <c r="L41" s="12">
        <f t="shared" si="1"/>
        <v>0.49978310714507035</v>
      </c>
    </row>
    <row r="42" spans="1:12" ht="13.2" x14ac:dyDescent="0.25">
      <c r="A42" s="2" t="s">
        <v>49</v>
      </c>
      <c r="B42" s="3">
        <v>27639</v>
      </c>
      <c r="C42" s="3">
        <v>22386</v>
      </c>
      <c r="D42" s="4">
        <v>0.234655588314125</v>
      </c>
      <c r="E42" s="3">
        <v>26392</v>
      </c>
      <c r="F42" s="3">
        <v>22233</v>
      </c>
      <c r="G42" s="4">
        <v>0.18706427382719401</v>
      </c>
      <c r="H42" s="5">
        <v>54031</v>
      </c>
      <c r="I42" s="5">
        <v>44619</v>
      </c>
      <c r="J42" s="4">
        <v>0.21094152715211001</v>
      </c>
      <c r="K42" s="12">
        <f t="shared" si="0"/>
        <v>0.51153967166996728</v>
      </c>
      <c r="L42" s="12">
        <f t="shared" si="1"/>
        <v>0.48846032833003278</v>
      </c>
    </row>
    <row r="43" spans="1:12" ht="13.2" x14ac:dyDescent="0.25">
      <c r="A43" s="2" t="s">
        <v>50</v>
      </c>
      <c r="B43" s="3">
        <v>22621</v>
      </c>
      <c r="C43" s="3">
        <v>14343</v>
      </c>
      <c r="D43" s="4">
        <v>0.57714564595970197</v>
      </c>
      <c r="E43" s="3">
        <v>23591</v>
      </c>
      <c r="F43" s="3">
        <v>15279</v>
      </c>
      <c r="G43" s="4">
        <v>0.54401466064532999</v>
      </c>
      <c r="H43" s="5">
        <v>46212</v>
      </c>
      <c r="I43" s="5">
        <v>29622</v>
      </c>
      <c r="J43" s="4">
        <v>0.56005671460401096</v>
      </c>
      <c r="K43" s="12">
        <f t="shared" si="0"/>
        <v>0.48950489050463081</v>
      </c>
      <c r="L43" s="12">
        <f t="shared" si="1"/>
        <v>0.51049510949536914</v>
      </c>
    </row>
    <row r="44" spans="1:12" ht="13.2" x14ac:dyDescent="0.25">
      <c r="A44" s="2" t="s">
        <v>51</v>
      </c>
      <c r="B44" s="3">
        <v>25886</v>
      </c>
      <c r="C44" s="3">
        <v>13844</v>
      </c>
      <c r="D44" s="4">
        <v>0.86983530771453299</v>
      </c>
      <c r="E44" s="3">
        <v>25455</v>
      </c>
      <c r="F44" s="3">
        <v>12430</v>
      </c>
      <c r="G44" s="4">
        <v>1.0478680611424001</v>
      </c>
      <c r="H44" s="5">
        <v>51341</v>
      </c>
      <c r="I44" s="5">
        <v>26274</v>
      </c>
      <c r="J44" s="4">
        <v>0.95406104894572596</v>
      </c>
      <c r="K44" s="12">
        <f t="shared" si="0"/>
        <v>0.50419742505989362</v>
      </c>
      <c r="L44" s="12">
        <f t="shared" si="1"/>
        <v>0.49580257494010632</v>
      </c>
    </row>
    <row r="45" spans="1:12" ht="13.2" x14ac:dyDescent="0.25">
      <c r="A45" s="2" t="s">
        <v>52</v>
      </c>
      <c r="B45" s="3">
        <v>26703</v>
      </c>
      <c r="C45" s="3">
        <v>18941</v>
      </c>
      <c r="D45" s="4">
        <v>0.4097988490576</v>
      </c>
      <c r="E45" s="3">
        <v>27638</v>
      </c>
      <c r="F45" s="3">
        <v>20540</v>
      </c>
      <c r="G45" s="4">
        <v>0.34556962025316501</v>
      </c>
      <c r="H45" s="5">
        <v>54341</v>
      </c>
      <c r="I45" s="5">
        <v>39481</v>
      </c>
      <c r="J45" s="4">
        <v>0.37638357691041302</v>
      </c>
      <c r="K45" s="12">
        <f t="shared" si="0"/>
        <v>0.49139691945308328</v>
      </c>
      <c r="L45" s="12">
        <f t="shared" si="1"/>
        <v>0.50860308054691672</v>
      </c>
    </row>
    <row r="46" spans="1:12" ht="13.2" x14ac:dyDescent="0.25">
      <c r="A46" s="2" t="s">
        <v>53</v>
      </c>
      <c r="B46" s="3">
        <v>22780</v>
      </c>
      <c r="C46" s="3">
        <v>17985</v>
      </c>
      <c r="D46" s="4">
        <v>0.266611064776202</v>
      </c>
      <c r="E46" s="3">
        <v>22140</v>
      </c>
      <c r="F46" s="3">
        <v>17867</v>
      </c>
      <c r="G46" s="4">
        <v>0.23915598589578599</v>
      </c>
      <c r="H46" s="5">
        <v>44920</v>
      </c>
      <c r="I46" s="5">
        <v>35852</v>
      </c>
      <c r="J46" s="4">
        <v>0.25292870690616998</v>
      </c>
      <c r="K46" s="12">
        <f t="shared" si="0"/>
        <v>0.50712377560106858</v>
      </c>
      <c r="L46" s="12">
        <f t="shared" si="1"/>
        <v>0.49287622439893142</v>
      </c>
    </row>
    <row r="47" spans="1:12" ht="13.2" x14ac:dyDescent="0.25">
      <c r="A47" s="2" t="s">
        <v>54</v>
      </c>
      <c r="B47" s="3">
        <v>29313</v>
      </c>
      <c r="C47" s="3">
        <v>15294</v>
      </c>
      <c r="D47" s="4">
        <v>0.91663397410749303</v>
      </c>
      <c r="E47" s="3">
        <v>29538</v>
      </c>
      <c r="F47" s="3">
        <v>16196</v>
      </c>
      <c r="G47" s="4">
        <v>0.82378365028402101</v>
      </c>
      <c r="H47" s="5">
        <v>58851</v>
      </c>
      <c r="I47" s="5">
        <v>31490</v>
      </c>
      <c r="J47" s="4">
        <v>0.86887900920927297</v>
      </c>
      <c r="K47" s="12">
        <f t="shared" si="0"/>
        <v>0.49808839272059946</v>
      </c>
      <c r="L47" s="12">
        <f t="shared" si="1"/>
        <v>0.50191160727940054</v>
      </c>
    </row>
    <row r="48" spans="1:12" ht="13.2" x14ac:dyDescent="0.25">
      <c r="A48" s="2" t="s">
        <v>55</v>
      </c>
      <c r="B48" s="3">
        <v>29796</v>
      </c>
      <c r="C48" s="3">
        <v>17328</v>
      </c>
      <c r="D48" s="4">
        <v>0.71952908587257602</v>
      </c>
      <c r="E48" s="3">
        <v>31483</v>
      </c>
      <c r="F48" s="3">
        <v>20517</v>
      </c>
      <c r="G48" s="4">
        <v>0.53448359896671105</v>
      </c>
      <c r="H48" s="5">
        <v>61279</v>
      </c>
      <c r="I48" s="5">
        <v>37845</v>
      </c>
      <c r="J48" s="4">
        <v>0.61920993526225399</v>
      </c>
      <c r="K48" s="12">
        <f t="shared" si="0"/>
        <v>0.4862350886927006</v>
      </c>
      <c r="L48" s="12">
        <f t="shared" si="1"/>
        <v>0.5137649113072994</v>
      </c>
    </row>
    <row r="49" spans="1:12" ht="13.2" x14ac:dyDescent="0.25">
      <c r="A49" s="2" t="s">
        <v>56</v>
      </c>
      <c r="B49" s="3">
        <v>36296</v>
      </c>
      <c r="C49" s="3">
        <v>24809</v>
      </c>
      <c r="D49" s="4">
        <v>0.46301745334354499</v>
      </c>
      <c r="E49" s="3">
        <v>35856</v>
      </c>
      <c r="F49" s="3">
        <v>25022</v>
      </c>
      <c r="G49" s="4">
        <v>0.43297897849892097</v>
      </c>
      <c r="H49" s="5">
        <v>72152</v>
      </c>
      <c r="I49" s="5">
        <v>49831</v>
      </c>
      <c r="J49" s="4">
        <v>0.447934016977384</v>
      </c>
      <c r="K49" s="12">
        <f t="shared" si="0"/>
        <v>0.50304911852755296</v>
      </c>
      <c r="L49" s="12">
        <f t="shared" si="1"/>
        <v>0.49695088147244704</v>
      </c>
    </row>
    <row r="50" spans="1:12" ht="13.2" x14ac:dyDescent="0.25">
      <c r="A50" s="2" t="s">
        <v>57</v>
      </c>
      <c r="B50" s="3">
        <v>35141</v>
      </c>
      <c r="C50" s="3">
        <v>21330</v>
      </c>
      <c r="D50" s="4">
        <v>0.64749179559306203</v>
      </c>
      <c r="E50" s="3">
        <v>34342</v>
      </c>
      <c r="F50" s="3">
        <v>18918</v>
      </c>
      <c r="G50" s="4">
        <v>0.81530817211121698</v>
      </c>
      <c r="H50" s="5">
        <v>69483</v>
      </c>
      <c r="I50" s="5">
        <v>40248</v>
      </c>
      <c r="J50" s="4">
        <v>0.72637149672033396</v>
      </c>
      <c r="K50" s="12">
        <f t="shared" si="0"/>
        <v>0.50574960781773959</v>
      </c>
      <c r="L50" s="12">
        <f t="shared" si="1"/>
        <v>0.49425039218226041</v>
      </c>
    </row>
    <row r="51" spans="1:12" ht="13.2" x14ac:dyDescent="0.25">
      <c r="A51" s="2" t="s">
        <v>58</v>
      </c>
      <c r="B51" s="3">
        <v>33165</v>
      </c>
      <c r="C51" s="3">
        <v>11332</v>
      </c>
      <c r="D51" s="4">
        <v>1.9266678432756801</v>
      </c>
      <c r="E51" s="3">
        <v>29094</v>
      </c>
      <c r="F51" s="3">
        <v>8765</v>
      </c>
      <c r="G51" s="4">
        <v>2.3193382772390199</v>
      </c>
      <c r="H51" s="5">
        <v>62259</v>
      </c>
      <c r="I51" s="5">
        <v>20097</v>
      </c>
      <c r="J51" s="4">
        <v>2.0979250634422999</v>
      </c>
      <c r="K51" s="12">
        <f t="shared" si="0"/>
        <v>0.53269406832747068</v>
      </c>
      <c r="L51" s="12">
        <f t="shared" si="1"/>
        <v>0.46730593167252926</v>
      </c>
    </row>
    <row r="52" spans="1:12" ht="13.2" x14ac:dyDescent="0.25">
      <c r="A52" s="2" t="s">
        <v>59</v>
      </c>
      <c r="B52" s="3">
        <v>25377</v>
      </c>
      <c r="C52" s="3">
        <v>4752</v>
      </c>
      <c r="D52" s="4">
        <v>4.3402777777777803</v>
      </c>
      <c r="E52" s="3">
        <v>25706</v>
      </c>
      <c r="F52" s="3">
        <v>4202</v>
      </c>
      <c r="G52" s="4">
        <v>5.1175630652070403</v>
      </c>
      <c r="H52" s="5">
        <v>51083</v>
      </c>
      <c r="I52" s="5">
        <v>8954</v>
      </c>
      <c r="J52" s="4">
        <v>4.7050480232298399</v>
      </c>
      <c r="K52" s="12">
        <f t="shared" si="0"/>
        <v>0.4967797506019615</v>
      </c>
      <c r="L52" s="12">
        <f t="shared" si="1"/>
        <v>0.50322024939803844</v>
      </c>
    </row>
    <row r="53" spans="1:12" ht="13.2" x14ac:dyDescent="0.25">
      <c r="A53" s="2" t="s">
        <v>60</v>
      </c>
      <c r="B53" s="3">
        <v>27046</v>
      </c>
      <c r="C53" s="3">
        <v>2872</v>
      </c>
      <c r="D53" s="4">
        <v>8.4171309192200603</v>
      </c>
      <c r="E53" s="3">
        <v>25908</v>
      </c>
      <c r="F53" s="3">
        <v>2325</v>
      </c>
      <c r="G53" s="4">
        <v>10.1432258064516</v>
      </c>
      <c r="H53" s="5">
        <v>52954</v>
      </c>
      <c r="I53" s="5">
        <v>5197</v>
      </c>
      <c r="J53" s="4">
        <v>9.1893400038483701</v>
      </c>
      <c r="K53" s="12">
        <f t="shared" si="0"/>
        <v>0.5107451750575972</v>
      </c>
      <c r="L53" s="12">
        <f t="shared" si="1"/>
        <v>0.48925482494240286</v>
      </c>
    </row>
    <row r="54" spans="1:12" ht="13.2" x14ac:dyDescent="0.25">
      <c r="A54" s="2" t="s">
        <v>61</v>
      </c>
      <c r="B54" s="3">
        <v>22386</v>
      </c>
      <c r="C54" s="3">
        <v>1620</v>
      </c>
      <c r="D54" s="4">
        <v>12.8185185185185</v>
      </c>
      <c r="E54" s="3">
        <v>22233</v>
      </c>
      <c r="F54" s="3">
        <v>1539</v>
      </c>
      <c r="G54" s="4">
        <v>13.446393762183201</v>
      </c>
      <c r="H54" s="5">
        <v>44619</v>
      </c>
      <c r="I54" s="5">
        <v>3159</v>
      </c>
      <c r="J54" s="4">
        <v>13.1244064577398</v>
      </c>
      <c r="K54" s="12">
        <f t="shared" si="0"/>
        <v>0.50171451623747731</v>
      </c>
      <c r="L54" s="12">
        <f t="shared" si="1"/>
        <v>0.49828548376252269</v>
      </c>
    </row>
    <row r="55" spans="1:12" ht="13.2" x14ac:dyDescent="0.25">
      <c r="A55" s="2" t="s">
        <v>62</v>
      </c>
      <c r="B55" s="3">
        <v>14343</v>
      </c>
      <c r="C55" s="3">
        <v>717</v>
      </c>
      <c r="D55" s="4">
        <v>19.004184100418399</v>
      </c>
      <c r="E55" s="3">
        <v>15279</v>
      </c>
      <c r="F55" s="3">
        <v>864</v>
      </c>
      <c r="G55" s="4">
        <v>16.6840277777778</v>
      </c>
      <c r="H55" s="5">
        <v>29622</v>
      </c>
      <c r="I55" s="5">
        <v>1581</v>
      </c>
      <c r="J55" s="4">
        <v>17.736242884250501</v>
      </c>
      <c r="K55" s="12">
        <f t="shared" si="0"/>
        <v>0.48420093173992301</v>
      </c>
      <c r="L55" s="12">
        <f t="shared" si="1"/>
        <v>0.51579906826007693</v>
      </c>
    </row>
    <row r="56" spans="1:12" ht="13.2" x14ac:dyDescent="0.25">
      <c r="A56" s="2" t="s">
        <v>63</v>
      </c>
      <c r="B56" s="3">
        <v>13844</v>
      </c>
      <c r="C56" s="3">
        <v>2518</v>
      </c>
      <c r="D56" s="4">
        <v>4.4980142970611601</v>
      </c>
      <c r="E56" s="3">
        <v>12430</v>
      </c>
      <c r="F56" s="3">
        <v>2196</v>
      </c>
      <c r="G56" s="4">
        <v>4.6602914389799599</v>
      </c>
      <c r="H56" s="5">
        <v>26274</v>
      </c>
      <c r="I56" s="5">
        <v>4714</v>
      </c>
      <c r="J56" s="4">
        <v>4.57361052184981</v>
      </c>
      <c r="K56" s="12">
        <f t="shared" si="0"/>
        <v>0.52690873106493108</v>
      </c>
      <c r="L56" s="12">
        <f t="shared" si="1"/>
        <v>0.47309126893506886</v>
      </c>
    </row>
    <row r="57" spans="1:12" ht="13.2" x14ac:dyDescent="0.25">
      <c r="A57" s="2" t="s">
        <v>64</v>
      </c>
      <c r="B57" s="3">
        <v>18941</v>
      </c>
      <c r="C57" s="3">
        <f>B69</f>
        <v>3519</v>
      </c>
      <c r="D57" s="4">
        <v>0</v>
      </c>
      <c r="E57" s="3">
        <v>20540</v>
      </c>
      <c r="F57" s="3">
        <f>E69</f>
        <v>3178</v>
      </c>
      <c r="G57" s="4">
        <v>0</v>
      </c>
      <c r="H57" s="5">
        <v>39481</v>
      </c>
      <c r="I57" s="5">
        <f>H69</f>
        <v>6697</v>
      </c>
      <c r="J57" s="4">
        <v>0</v>
      </c>
      <c r="K57" s="12">
        <f t="shared" si="0"/>
        <v>0.47974975304576883</v>
      </c>
      <c r="L57" s="12">
        <f t="shared" si="1"/>
        <v>0.52025024695423117</v>
      </c>
    </row>
    <row r="58" spans="1:12" ht="13.2" x14ac:dyDescent="0.25">
      <c r="A58" s="2" t="s">
        <v>65</v>
      </c>
      <c r="B58" s="3">
        <v>17985</v>
      </c>
      <c r="C58" s="3">
        <f t="shared" ref="C58:C121" si="2">B70</f>
        <v>1289</v>
      </c>
      <c r="D58" s="4">
        <v>0</v>
      </c>
      <c r="E58" s="3">
        <v>17867</v>
      </c>
      <c r="F58" s="3">
        <f t="shared" ref="F58:F121" si="3">E70</f>
        <v>1278</v>
      </c>
      <c r="G58" s="4">
        <v>0</v>
      </c>
      <c r="H58" s="5">
        <v>35852</v>
      </c>
      <c r="I58" s="5">
        <f t="shared" ref="I58:I121" si="4">H70</f>
        <v>2567</v>
      </c>
      <c r="J58" s="4">
        <v>0</v>
      </c>
      <c r="K58" s="12">
        <f t="shared" si="0"/>
        <v>0.5016456543568002</v>
      </c>
      <c r="L58" s="12">
        <f t="shared" si="1"/>
        <v>0.4983543456431998</v>
      </c>
    </row>
    <row r="59" spans="1:12" ht="13.2" x14ac:dyDescent="0.25">
      <c r="A59" s="2" t="s">
        <v>66</v>
      </c>
      <c r="B59" s="3">
        <v>15294</v>
      </c>
      <c r="C59" s="3">
        <f t="shared" si="2"/>
        <v>4105</v>
      </c>
      <c r="D59" s="4">
        <v>0</v>
      </c>
      <c r="E59" s="3">
        <v>16196</v>
      </c>
      <c r="F59" s="3">
        <f t="shared" si="3"/>
        <v>4367</v>
      </c>
      <c r="G59" s="4">
        <v>0</v>
      </c>
      <c r="H59" s="5">
        <v>31490</v>
      </c>
      <c r="I59" s="5">
        <f t="shared" si="4"/>
        <v>8472</v>
      </c>
      <c r="J59" s="4">
        <v>0</v>
      </c>
      <c r="K59" s="12">
        <f t="shared" si="0"/>
        <v>0.48567799301365511</v>
      </c>
      <c r="L59" s="12">
        <f t="shared" si="1"/>
        <v>0.51432200698634489</v>
      </c>
    </row>
    <row r="60" spans="1:12" ht="13.2" x14ac:dyDescent="0.25">
      <c r="A60" s="2" t="s">
        <v>67</v>
      </c>
      <c r="B60" s="3">
        <v>17328</v>
      </c>
      <c r="C60" s="3">
        <f t="shared" si="2"/>
        <v>7702</v>
      </c>
      <c r="D60" s="4">
        <v>0</v>
      </c>
      <c r="E60" s="3">
        <v>20517</v>
      </c>
      <c r="F60" s="3">
        <f t="shared" si="3"/>
        <v>9402</v>
      </c>
      <c r="G60" s="4">
        <v>0</v>
      </c>
      <c r="H60" s="5">
        <v>37845</v>
      </c>
      <c r="I60" s="5">
        <f t="shared" si="4"/>
        <v>17104</v>
      </c>
      <c r="J60" s="4">
        <v>0</v>
      </c>
      <c r="K60" s="12">
        <f t="shared" si="0"/>
        <v>0.45786761791518032</v>
      </c>
      <c r="L60" s="12">
        <f t="shared" si="1"/>
        <v>0.54213238208481962</v>
      </c>
    </row>
    <row r="61" spans="1:12" ht="13.2" x14ac:dyDescent="0.25">
      <c r="A61" s="2" t="s">
        <v>68</v>
      </c>
      <c r="B61" s="3">
        <v>24809</v>
      </c>
      <c r="C61" s="3">
        <f t="shared" si="2"/>
        <v>16485</v>
      </c>
      <c r="D61" s="4">
        <v>0</v>
      </c>
      <c r="E61" s="3">
        <v>25022</v>
      </c>
      <c r="F61" s="3">
        <f t="shared" si="3"/>
        <v>15993</v>
      </c>
      <c r="G61" s="4">
        <v>0</v>
      </c>
      <c r="H61" s="5">
        <v>49831</v>
      </c>
      <c r="I61" s="5">
        <f t="shared" si="4"/>
        <v>32478</v>
      </c>
      <c r="J61" s="4">
        <v>0</v>
      </c>
      <c r="K61" s="12">
        <f t="shared" si="0"/>
        <v>0.49786277618350022</v>
      </c>
      <c r="L61" s="12">
        <f t="shared" si="1"/>
        <v>0.50213722381649972</v>
      </c>
    </row>
    <row r="62" spans="1:12" ht="13.2" x14ac:dyDescent="0.25">
      <c r="A62" s="2" t="s">
        <v>69</v>
      </c>
      <c r="B62" s="3">
        <v>21330</v>
      </c>
      <c r="C62" s="3">
        <f t="shared" si="2"/>
        <v>12127</v>
      </c>
      <c r="D62" s="4">
        <v>0</v>
      </c>
      <c r="E62" s="3">
        <v>18918</v>
      </c>
      <c r="F62" s="3">
        <f t="shared" si="3"/>
        <v>10299</v>
      </c>
      <c r="G62" s="4">
        <v>0</v>
      </c>
      <c r="H62" s="5">
        <v>40248</v>
      </c>
      <c r="I62" s="5">
        <f t="shared" si="4"/>
        <v>22426</v>
      </c>
      <c r="J62" s="4">
        <v>0</v>
      </c>
      <c r="K62" s="12">
        <f t="shared" si="0"/>
        <v>0.52996422182468694</v>
      </c>
      <c r="L62" s="12">
        <f t="shared" si="1"/>
        <v>0.47003577817531306</v>
      </c>
    </row>
    <row r="63" spans="1:12" ht="13.2" x14ac:dyDescent="0.25">
      <c r="A63" s="2" t="s">
        <v>70</v>
      </c>
      <c r="B63" s="3">
        <v>11332</v>
      </c>
      <c r="C63" s="3">
        <f t="shared" si="2"/>
        <v>353</v>
      </c>
      <c r="D63" s="4">
        <v>0</v>
      </c>
      <c r="E63" s="3">
        <v>8765</v>
      </c>
      <c r="F63" s="3">
        <f t="shared" si="3"/>
        <v>261</v>
      </c>
      <c r="G63" s="4">
        <v>0</v>
      </c>
      <c r="H63" s="5">
        <v>20097</v>
      </c>
      <c r="I63" s="5">
        <f t="shared" si="4"/>
        <v>614</v>
      </c>
      <c r="J63" s="4">
        <v>0</v>
      </c>
      <c r="K63" s="12">
        <f t="shared" si="0"/>
        <v>0.56386525352042594</v>
      </c>
      <c r="L63" s="12">
        <f t="shared" si="1"/>
        <v>0.43613474647957406</v>
      </c>
    </row>
    <row r="64" spans="1:12" ht="13.2" x14ac:dyDescent="0.25">
      <c r="A64" s="2" t="s">
        <v>71</v>
      </c>
      <c r="B64" s="3">
        <v>4752</v>
      </c>
      <c r="C64" s="3">
        <f t="shared" si="2"/>
        <v>20</v>
      </c>
      <c r="D64" s="4">
        <v>0</v>
      </c>
      <c r="E64" s="3">
        <v>4202</v>
      </c>
      <c r="F64" s="3">
        <f t="shared" si="3"/>
        <v>20</v>
      </c>
      <c r="G64" s="4">
        <v>0</v>
      </c>
      <c r="H64" s="5">
        <v>8954</v>
      </c>
      <c r="I64" s="5">
        <f t="shared" si="4"/>
        <v>40</v>
      </c>
      <c r="J64" s="4">
        <v>0</v>
      </c>
      <c r="K64" s="12">
        <f t="shared" si="0"/>
        <v>0.53071253071253066</v>
      </c>
      <c r="L64" s="12">
        <f t="shared" si="1"/>
        <v>0.46928746928746928</v>
      </c>
    </row>
    <row r="65" spans="1:12" ht="13.2" x14ac:dyDescent="0.25">
      <c r="A65" s="2" t="s">
        <v>72</v>
      </c>
      <c r="B65" s="3">
        <v>2872</v>
      </c>
      <c r="C65" s="3">
        <f t="shared" si="2"/>
        <v>0</v>
      </c>
      <c r="D65" s="4">
        <v>0</v>
      </c>
      <c r="E65" s="3">
        <v>2325</v>
      </c>
      <c r="F65" s="3">
        <f t="shared" si="3"/>
        <v>4</v>
      </c>
      <c r="G65" s="4">
        <v>0</v>
      </c>
      <c r="H65" s="5">
        <v>5197</v>
      </c>
      <c r="I65" s="5">
        <f t="shared" si="4"/>
        <v>4</v>
      </c>
      <c r="J65" s="4">
        <v>0</v>
      </c>
      <c r="K65" s="12">
        <f t="shared" si="0"/>
        <v>0.5526265152972869</v>
      </c>
      <c r="L65" s="12">
        <f t="shared" si="1"/>
        <v>0.4473734847027131</v>
      </c>
    </row>
    <row r="66" spans="1:12" ht="13.2" x14ac:dyDescent="0.25">
      <c r="A66" s="2" t="s">
        <v>73</v>
      </c>
      <c r="B66" s="3">
        <v>1620</v>
      </c>
      <c r="C66" s="3">
        <f t="shared" si="2"/>
        <v>7014</v>
      </c>
      <c r="D66" s="4">
        <v>0</v>
      </c>
      <c r="E66" s="3">
        <v>1539</v>
      </c>
      <c r="F66" s="3">
        <f t="shared" si="3"/>
        <v>7574</v>
      </c>
      <c r="G66" s="4">
        <v>0</v>
      </c>
      <c r="H66" s="5">
        <v>3159</v>
      </c>
      <c r="I66" s="5">
        <f t="shared" si="4"/>
        <v>14588</v>
      </c>
      <c r="J66" s="4">
        <v>0</v>
      </c>
      <c r="K66" s="12">
        <f t="shared" si="0"/>
        <v>0.51282051282051277</v>
      </c>
      <c r="L66" s="12">
        <f t="shared" si="1"/>
        <v>0.48717948717948717</v>
      </c>
    </row>
    <row r="67" spans="1:12" ht="13.2" x14ac:dyDescent="0.25">
      <c r="A67" s="2" t="s">
        <v>74</v>
      </c>
      <c r="B67" s="3">
        <v>717</v>
      </c>
      <c r="C67" s="3">
        <f t="shared" si="2"/>
        <v>16111</v>
      </c>
      <c r="D67" s="4">
        <v>0</v>
      </c>
      <c r="E67" s="3">
        <v>864</v>
      </c>
      <c r="F67" s="3">
        <f t="shared" si="3"/>
        <v>16380</v>
      </c>
      <c r="G67" s="4">
        <v>0</v>
      </c>
      <c r="H67" s="5">
        <v>1581</v>
      </c>
      <c r="I67" s="5">
        <f t="shared" si="4"/>
        <v>32491</v>
      </c>
      <c r="J67" s="4">
        <v>0</v>
      </c>
      <c r="K67" s="12">
        <f t="shared" si="0"/>
        <v>0.45351043643263755</v>
      </c>
      <c r="L67" s="12">
        <f t="shared" si="1"/>
        <v>0.54648956356736245</v>
      </c>
    </row>
    <row r="68" spans="1:12" ht="13.2" x14ac:dyDescent="0.25">
      <c r="A68" s="2" t="s">
        <v>75</v>
      </c>
      <c r="B68" s="3">
        <v>2518</v>
      </c>
      <c r="C68" s="3">
        <f t="shared" si="2"/>
        <v>17459</v>
      </c>
      <c r="D68" s="4">
        <v>0</v>
      </c>
      <c r="E68" s="3">
        <v>2196</v>
      </c>
      <c r="F68" s="3">
        <f t="shared" si="3"/>
        <v>15591</v>
      </c>
      <c r="G68" s="4">
        <v>0</v>
      </c>
      <c r="H68" s="5">
        <v>4714</v>
      </c>
      <c r="I68" s="5">
        <f t="shared" si="4"/>
        <v>33050</v>
      </c>
      <c r="J68" s="4">
        <v>0</v>
      </c>
      <c r="K68" s="12">
        <f t="shared" si="0"/>
        <v>0.5341535850657616</v>
      </c>
      <c r="L68" s="12">
        <f t="shared" si="1"/>
        <v>0.46584641493423845</v>
      </c>
    </row>
    <row r="69" spans="1:12" ht="13.2" x14ac:dyDescent="0.25">
      <c r="A69" s="6">
        <v>44166</v>
      </c>
      <c r="B69" s="8">
        <v>3519</v>
      </c>
      <c r="C69" s="3">
        <f t="shared" si="2"/>
        <v>13724</v>
      </c>
      <c r="D69" s="9">
        <f>ABS(B69-C69)/C69</f>
        <v>0.74358787525502767</v>
      </c>
      <c r="E69" s="8">
        <v>3178</v>
      </c>
      <c r="F69" s="3">
        <f t="shared" si="3"/>
        <v>14374</v>
      </c>
      <c r="G69" s="10">
        <f>ABS(E69-F69)/F69</f>
        <v>0.77890635870321412</v>
      </c>
      <c r="H69" s="8">
        <f t="shared" ref="H69:H132" si="5">B69+E69</f>
        <v>6697</v>
      </c>
      <c r="I69" s="5">
        <f t="shared" si="4"/>
        <v>28098</v>
      </c>
      <c r="J69" s="9">
        <f>ABS(H69-I69)/I69</f>
        <v>0.76165563385294321</v>
      </c>
      <c r="K69" s="12">
        <f t="shared" si="0"/>
        <v>0.52545916081827682</v>
      </c>
      <c r="L69" s="12">
        <f t="shared" si="1"/>
        <v>0.47454083918172318</v>
      </c>
    </row>
    <row r="70" spans="1:12" ht="13.2" x14ac:dyDescent="0.25">
      <c r="A70" s="6">
        <v>44136</v>
      </c>
      <c r="B70" s="8">
        <v>1289</v>
      </c>
      <c r="C70" s="3">
        <f t="shared" si="2"/>
        <v>12572</v>
      </c>
      <c r="D70" s="9">
        <f t="shared" ref="D70:D133" si="6">ABS(B70-C70)/C70</f>
        <v>0.89747056951956727</v>
      </c>
      <c r="E70" s="8">
        <v>1278</v>
      </c>
      <c r="F70" s="3">
        <f t="shared" si="3"/>
        <v>11668</v>
      </c>
      <c r="G70" s="10">
        <f t="shared" ref="G70:G133" si="7">ABS(E70-F70)/F70</f>
        <v>0.89046966061021593</v>
      </c>
      <c r="H70" s="8">
        <f t="shared" si="5"/>
        <v>2567</v>
      </c>
      <c r="I70" s="5">
        <f t="shared" si="4"/>
        <v>24240</v>
      </c>
      <c r="J70" s="9">
        <f t="shared" ref="J70:J133" si="8">ABS(H70-I70)/I70</f>
        <v>0.89410066006600664</v>
      </c>
      <c r="K70" s="12">
        <f t="shared" ref="K70:K133" si="9">B70/H70</f>
        <v>0.502142578885859</v>
      </c>
      <c r="L70" s="12">
        <f t="shared" ref="L70:L133" si="10">E70/H70</f>
        <v>0.497857421114141</v>
      </c>
    </row>
    <row r="71" spans="1:12" ht="13.2" x14ac:dyDescent="0.25">
      <c r="A71" s="6">
        <v>44105</v>
      </c>
      <c r="B71" s="8">
        <v>4105</v>
      </c>
      <c r="C71" s="3">
        <f t="shared" si="2"/>
        <v>14700</v>
      </c>
      <c r="D71" s="9">
        <f t="shared" si="6"/>
        <v>0.72074829931972784</v>
      </c>
      <c r="E71" s="8">
        <v>4367</v>
      </c>
      <c r="F71" s="3">
        <f t="shared" si="3"/>
        <v>14554</v>
      </c>
      <c r="G71" s="10">
        <f t="shared" si="7"/>
        <v>0.69994503229352756</v>
      </c>
      <c r="H71" s="8">
        <f t="shared" si="5"/>
        <v>8472</v>
      </c>
      <c r="I71" s="5">
        <f t="shared" si="4"/>
        <v>29254</v>
      </c>
      <c r="J71" s="9">
        <f t="shared" si="8"/>
        <v>0.71039857797224315</v>
      </c>
      <c r="K71" s="12">
        <f t="shared" si="9"/>
        <v>0.48453729933899908</v>
      </c>
      <c r="L71" s="12">
        <f t="shared" si="10"/>
        <v>0.51546270066100097</v>
      </c>
    </row>
    <row r="72" spans="1:12" ht="13.2" x14ac:dyDescent="0.25">
      <c r="A72" s="6">
        <v>44075</v>
      </c>
      <c r="B72" s="8">
        <v>7702</v>
      </c>
      <c r="C72" s="3">
        <f t="shared" si="2"/>
        <v>17302</v>
      </c>
      <c r="D72" s="9">
        <f t="shared" si="6"/>
        <v>0.55484915038723848</v>
      </c>
      <c r="E72" s="8">
        <v>9402</v>
      </c>
      <c r="F72" s="3">
        <f t="shared" si="3"/>
        <v>17453</v>
      </c>
      <c r="G72" s="10">
        <f t="shared" si="7"/>
        <v>0.46129605225462672</v>
      </c>
      <c r="H72" s="8">
        <f t="shared" si="5"/>
        <v>17104</v>
      </c>
      <c r="I72" s="5">
        <f t="shared" si="4"/>
        <v>34755</v>
      </c>
      <c r="J72" s="9">
        <f t="shared" si="8"/>
        <v>0.50786937131348009</v>
      </c>
      <c r="K72" s="12">
        <f t="shared" si="9"/>
        <v>0.45030402245088869</v>
      </c>
      <c r="L72" s="12">
        <f t="shared" si="10"/>
        <v>0.54969597754911137</v>
      </c>
    </row>
    <row r="73" spans="1:12" ht="13.2" x14ac:dyDescent="0.25">
      <c r="A73" s="6">
        <v>44044</v>
      </c>
      <c r="B73" s="8">
        <v>16485</v>
      </c>
      <c r="C73" s="3">
        <f t="shared" si="2"/>
        <v>19108</v>
      </c>
      <c r="D73" s="9">
        <f t="shared" si="6"/>
        <v>0.13727234666108437</v>
      </c>
      <c r="E73" s="8">
        <v>15993</v>
      </c>
      <c r="F73" s="3">
        <f t="shared" si="3"/>
        <v>18616</v>
      </c>
      <c r="G73" s="10">
        <f t="shared" si="7"/>
        <v>0.14090030081650193</v>
      </c>
      <c r="H73" s="8">
        <f t="shared" si="5"/>
        <v>32478</v>
      </c>
      <c r="I73" s="5">
        <f t="shared" si="4"/>
        <v>37724</v>
      </c>
      <c r="J73" s="9">
        <f t="shared" si="8"/>
        <v>0.13906266567702258</v>
      </c>
      <c r="K73" s="12">
        <f t="shared" si="9"/>
        <v>0.50757435802697215</v>
      </c>
      <c r="L73" s="12">
        <f t="shared" si="10"/>
        <v>0.49242564197302791</v>
      </c>
    </row>
    <row r="74" spans="1:12" ht="13.2" x14ac:dyDescent="0.25">
      <c r="A74" s="6">
        <v>44013</v>
      </c>
      <c r="B74" s="8">
        <v>12127</v>
      </c>
      <c r="C74" s="3">
        <f t="shared" si="2"/>
        <v>19649</v>
      </c>
      <c r="D74" s="9">
        <f t="shared" si="6"/>
        <v>0.38281846404397168</v>
      </c>
      <c r="E74" s="8">
        <v>10299</v>
      </c>
      <c r="F74" s="3">
        <f t="shared" si="3"/>
        <v>19492</v>
      </c>
      <c r="G74" s="10">
        <f t="shared" si="7"/>
        <v>0.47162938641493946</v>
      </c>
      <c r="H74" s="8">
        <f t="shared" si="5"/>
        <v>22426</v>
      </c>
      <c r="I74" s="5">
        <f t="shared" si="4"/>
        <v>39141</v>
      </c>
      <c r="J74" s="9">
        <f t="shared" si="8"/>
        <v>0.42704580874275055</v>
      </c>
      <c r="K74" s="12">
        <f t="shared" si="9"/>
        <v>0.54075626504949614</v>
      </c>
      <c r="L74" s="12">
        <f t="shared" si="10"/>
        <v>0.45924373495050386</v>
      </c>
    </row>
    <row r="75" spans="1:12" ht="13.2" x14ac:dyDescent="0.25">
      <c r="A75" s="6">
        <v>43983</v>
      </c>
      <c r="B75" s="8">
        <v>353</v>
      </c>
      <c r="C75" s="3">
        <f t="shared" si="2"/>
        <v>16767</v>
      </c>
      <c r="D75" s="9">
        <f t="shared" si="6"/>
        <v>0.97894674062145881</v>
      </c>
      <c r="E75" s="8">
        <v>261</v>
      </c>
      <c r="F75" s="3">
        <f t="shared" si="3"/>
        <v>15297</v>
      </c>
      <c r="G75" s="10">
        <f t="shared" si="7"/>
        <v>0.98293783094724452</v>
      </c>
      <c r="H75" s="8">
        <f t="shared" si="5"/>
        <v>614</v>
      </c>
      <c r="I75" s="5">
        <f t="shared" si="4"/>
        <v>32064</v>
      </c>
      <c r="J75" s="9">
        <f t="shared" si="8"/>
        <v>0.98085079840319356</v>
      </c>
      <c r="K75" s="12">
        <f t="shared" si="9"/>
        <v>0.57491856677524433</v>
      </c>
      <c r="L75" s="12">
        <f t="shared" si="10"/>
        <v>0.42508143322475572</v>
      </c>
    </row>
    <row r="76" spans="1:12" ht="13.2" x14ac:dyDescent="0.25">
      <c r="A76" s="6">
        <v>43952</v>
      </c>
      <c r="B76" s="8">
        <v>20</v>
      </c>
      <c r="C76" s="3">
        <f t="shared" si="2"/>
        <v>13142</v>
      </c>
      <c r="D76" s="9">
        <f t="shared" si="6"/>
        <v>0.99847816161923608</v>
      </c>
      <c r="E76" s="8">
        <v>20</v>
      </c>
      <c r="F76" s="3">
        <f t="shared" si="3"/>
        <v>13282</v>
      </c>
      <c r="G76" s="10">
        <f t="shared" si="7"/>
        <v>0.99849420268031919</v>
      </c>
      <c r="H76" s="8">
        <f t="shared" si="5"/>
        <v>40</v>
      </c>
      <c r="I76" s="5">
        <f t="shared" si="4"/>
        <v>26424</v>
      </c>
      <c r="J76" s="9">
        <f t="shared" si="8"/>
        <v>0.99848622464426284</v>
      </c>
      <c r="K76" s="12">
        <f t="shared" si="9"/>
        <v>0.5</v>
      </c>
      <c r="L76" s="12">
        <f t="shared" si="10"/>
        <v>0.5</v>
      </c>
    </row>
    <row r="77" spans="1:12" ht="13.2" x14ac:dyDescent="0.25">
      <c r="A77" s="6">
        <v>43922</v>
      </c>
      <c r="B77" s="8">
        <v>0</v>
      </c>
      <c r="C77" s="3">
        <f t="shared" si="2"/>
        <v>14930</v>
      </c>
      <c r="D77" s="9">
        <f t="shared" si="6"/>
        <v>1</v>
      </c>
      <c r="E77" s="8">
        <v>4</v>
      </c>
      <c r="F77" s="3">
        <f t="shared" si="3"/>
        <v>14693</v>
      </c>
      <c r="G77" s="10">
        <f t="shared" si="7"/>
        <v>0.99972776151909071</v>
      </c>
      <c r="H77" s="8">
        <f t="shared" si="5"/>
        <v>4</v>
      </c>
      <c r="I77" s="5">
        <f t="shared" si="4"/>
        <v>29623</v>
      </c>
      <c r="J77" s="9">
        <f t="shared" si="8"/>
        <v>0.9998649697869898</v>
      </c>
      <c r="K77" s="12">
        <f t="shared" si="9"/>
        <v>0</v>
      </c>
      <c r="L77" s="12">
        <f t="shared" si="10"/>
        <v>1</v>
      </c>
    </row>
    <row r="78" spans="1:12" ht="13.2" x14ac:dyDescent="0.25">
      <c r="A78" s="6">
        <v>43891</v>
      </c>
      <c r="B78" s="8">
        <v>7014</v>
      </c>
      <c r="C78" s="3">
        <f t="shared" si="2"/>
        <v>11409</v>
      </c>
      <c r="D78" s="9">
        <f t="shared" si="6"/>
        <v>0.38522219300552196</v>
      </c>
      <c r="E78" s="8">
        <v>7574</v>
      </c>
      <c r="F78" s="3">
        <f t="shared" si="3"/>
        <v>11192</v>
      </c>
      <c r="G78" s="10">
        <f t="shared" si="7"/>
        <v>0.32326661901358111</v>
      </c>
      <c r="H78" s="8">
        <f t="shared" si="5"/>
        <v>14588</v>
      </c>
      <c r="I78" s="5">
        <f t="shared" si="4"/>
        <v>22601</v>
      </c>
      <c r="J78" s="9">
        <f t="shared" si="8"/>
        <v>0.3545418344321048</v>
      </c>
      <c r="K78" s="12">
        <f t="shared" si="9"/>
        <v>0.48080614203454897</v>
      </c>
      <c r="L78" s="12">
        <f t="shared" si="10"/>
        <v>0.51919385796545103</v>
      </c>
    </row>
    <row r="79" spans="1:12" ht="13.2" x14ac:dyDescent="0.25">
      <c r="A79" s="6">
        <v>43862</v>
      </c>
      <c r="B79" s="8">
        <v>16111</v>
      </c>
      <c r="C79" s="3">
        <f t="shared" si="2"/>
        <v>9620</v>
      </c>
      <c r="D79" s="9">
        <f t="shared" si="6"/>
        <v>0.67474012474012479</v>
      </c>
      <c r="E79" s="8">
        <v>16380</v>
      </c>
      <c r="F79" s="3">
        <f t="shared" si="3"/>
        <v>9718</v>
      </c>
      <c r="G79" s="10">
        <f t="shared" si="7"/>
        <v>0.68553200246964396</v>
      </c>
      <c r="H79" s="8">
        <f t="shared" si="5"/>
        <v>32491</v>
      </c>
      <c r="I79" s="5">
        <f t="shared" si="4"/>
        <v>19338</v>
      </c>
      <c r="J79" s="9">
        <f t="shared" si="8"/>
        <v>0.68016340883235082</v>
      </c>
      <c r="K79" s="12">
        <f t="shared" si="9"/>
        <v>0.4958603921085839</v>
      </c>
      <c r="L79" s="12">
        <f t="shared" si="10"/>
        <v>0.5041396078914161</v>
      </c>
    </row>
    <row r="80" spans="1:12" ht="13.2" x14ac:dyDescent="0.25">
      <c r="A80" s="6">
        <v>43831</v>
      </c>
      <c r="B80" s="8">
        <v>17459</v>
      </c>
      <c r="C80" s="3">
        <f t="shared" si="2"/>
        <v>11167</v>
      </c>
      <c r="D80" s="9">
        <f t="shared" si="6"/>
        <v>0.56344586728754364</v>
      </c>
      <c r="E80" s="8">
        <v>15591</v>
      </c>
      <c r="F80" s="3">
        <f t="shared" si="3"/>
        <v>10549</v>
      </c>
      <c r="G80" s="10">
        <f t="shared" si="7"/>
        <v>0.47795999620817137</v>
      </c>
      <c r="H80" s="8">
        <f t="shared" si="5"/>
        <v>33050</v>
      </c>
      <c r="I80" s="5">
        <f t="shared" si="4"/>
        <v>21716</v>
      </c>
      <c r="J80" s="9">
        <f t="shared" si="8"/>
        <v>0.5219193221587769</v>
      </c>
      <c r="K80" s="12">
        <f t="shared" si="9"/>
        <v>0.52826021180030258</v>
      </c>
      <c r="L80" s="12">
        <f t="shared" si="10"/>
        <v>0.47173978819969742</v>
      </c>
    </row>
    <row r="81" spans="1:12" ht="13.2" x14ac:dyDescent="0.25">
      <c r="A81" s="6">
        <v>43800</v>
      </c>
      <c r="B81" s="8">
        <v>13724</v>
      </c>
      <c r="C81" s="3">
        <f t="shared" si="2"/>
        <v>16328</v>
      </c>
      <c r="D81" s="9">
        <f t="shared" si="6"/>
        <v>0.15948064674179324</v>
      </c>
      <c r="E81" s="8">
        <v>14374</v>
      </c>
      <c r="F81" s="3">
        <f t="shared" si="3"/>
        <v>17518</v>
      </c>
      <c r="G81" s="10">
        <f t="shared" si="7"/>
        <v>0.1794725425276858</v>
      </c>
      <c r="H81" s="8">
        <f t="shared" si="5"/>
        <v>28098</v>
      </c>
      <c r="I81" s="5">
        <f t="shared" si="4"/>
        <v>33846</v>
      </c>
      <c r="J81" s="9">
        <f t="shared" si="8"/>
        <v>0.16982804467293033</v>
      </c>
      <c r="K81" s="12">
        <f t="shared" si="9"/>
        <v>0.48843334045127768</v>
      </c>
      <c r="L81" s="12">
        <f t="shared" si="10"/>
        <v>0.51156665954872238</v>
      </c>
    </row>
    <row r="82" spans="1:12" ht="13.2" x14ac:dyDescent="0.25">
      <c r="A82" s="6">
        <v>43770</v>
      </c>
      <c r="B82" s="8">
        <v>12572</v>
      </c>
      <c r="C82" s="3">
        <f t="shared" si="2"/>
        <v>13971</v>
      </c>
      <c r="D82" s="9">
        <f t="shared" si="6"/>
        <v>0.10013599599169709</v>
      </c>
      <c r="E82" s="8">
        <v>11668</v>
      </c>
      <c r="F82" s="3">
        <f t="shared" si="3"/>
        <v>13713</v>
      </c>
      <c r="G82" s="10">
        <f t="shared" si="7"/>
        <v>0.14912856413622111</v>
      </c>
      <c r="H82" s="8">
        <f t="shared" si="5"/>
        <v>24240</v>
      </c>
      <c r="I82" s="5">
        <f t="shared" si="4"/>
        <v>27684</v>
      </c>
      <c r="J82" s="9">
        <f t="shared" si="8"/>
        <v>0.12440398786302558</v>
      </c>
      <c r="K82" s="12">
        <f t="shared" si="9"/>
        <v>0.5186468646864687</v>
      </c>
      <c r="L82" s="12">
        <f t="shared" si="10"/>
        <v>0.48135313531353136</v>
      </c>
    </row>
    <row r="83" spans="1:12" ht="13.2" x14ac:dyDescent="0.25">
      <c r="A83" s="6">
        <v>43739</v>
      </c>
      <c r="B83" s="8">
        <v>14700</v>
      </c>
      <c r="C83" s="3">
        <f t="shared" si="2"/>
        <v>18515</v>
      </c>
      <c r="D83" s="9">
        <f t="shared" si="6"/>
        <v>0.20604914933837429</v>
      </c>
      <c r="E83" s="8">
        <v>14554</v>
      </c>
      <c r="F83" s="3">
        <f t="shared" si="3"/>
        <v>18316</v>
      </c>
      <c r="G83" s="10">
        <f t="shared" si="7"/>
        <v>0.20539419087136929</v>
      </c>
      <c r="H83" s="8">
        <f t="shared" si="5"/>
        <v>29254</v>
      </c>
      <c r="I83" s="5">
        <f t="shared" si="4"/>
        <v>36831</v>
      </c>
      <c r="J83" s="9">
        <f t="shared" si="8"/>
        <v>0.20572343949390459</v>
      </c>
      <c r="K83" s="12">
        <f t="shared" si="9"/>
        <v>0.50249538524646198</v>
      </c>
      <c r="L83" s="12">
        <f t="shared" si="10"/>
        <v>0.49750461475353797</v>
      </c>
    </row>
    <row r="84" spans="1:12" ht="13.2" x14ac:dyDescent="0.25">
      <c r="A84" s="6">
        <v>43709</v>
      </c>
      <c r="B84" s="8">
        <v>17302</v>
      </c>
      <c r="C84" s="3">
        <f t="shared" si="2"/>
        <v>25802</v>
      </c>
      <c r="D84" s="9">
        <f t="shared" si="6"/>
        <v>0.32943182699015583</v>
      </c>
      <c r="E84" s="8">
        <v>17453</v>
      </c>
      <c r="F84" s="3">
        <f t="shared" si="3"/>
        <v>26692</v>
      </c>
      <c r="G84" s="10">
        <f t="shared" si="7"/>
        <v>0.34613367301063991</v>
      </c>
      <c r="H84" s="8">
        <f t="shared" si="5"/>
        <v>34755</v>
      </c>
      <c r="I84" s="5">
        <f t="shared" si="4"/>
        <v>52494</v>
      </c>
      <c r="J84" s="9">
        <f t="shared" si="8"/>
        <v>0.33792433420962398</v>
      </c>
      <c r="K84" s="12">
        <f t="shared" si="9"/>
        <v>0.49782765069774132</v>
      </c>
      <c r="L84" s="12">
        <f t="shared" si="10"/>
        <v>0.50217234930225862</v>
      </c>
    </row>
    <row r="85" spans="1:12" ht="13.2" x14ac:dyDescent="0.25">
      <c r="A85" s="6">
        <v>43678</v>
      </c>
      <c r="B85" s="8">
        <v>19108</v>
      </c>
      <c r="C85" s="3">
        <f t="shared" si="2"/>
        <v>31972</v>
      </c>
      <c r="D85" s="9">
        <f t="shared" si="6"/>
        <v>0.40235205805079444</v>
      </c>
      <c r="E85" s="8">
        <v>18616</v>
      </c>
      <c r="F85" s="3">
        <f t="shared" si="3"/>
        <v>32311</v>
      </c>
      <c r="G85" s="10">
        <f t="shared" si="7"/>
        <v>0.42384946303116583</v>
      </c>
      <c r="H85" s="8">
        <f t="shared" si="5"/>
        <v>37724</v>
      </c>
      <c r="I85" s="5">
        <f t="shared" si="4"/>
        <v>64283</v>
      </c>
      <c r="J85" s="9">
        <f t="shared" si="8"/>
        <v>0.41315744442543129</v>
      </c>
      <c r="K85" s="12">
        <f t="shared" si="9"/>
        <v>0.50652104760894923</v>
      </c>
      <c r="L85" s="12">
        <f t="shared" si="10"/>
        <v>0.49347895239105077</v>
      </c>
    </row>
    <row r="86" spans="1:12" ht="13.2" x14ac:dyDescent="0.25">
      <c r="A86" s="6">
        <v>43647</v>
      </c>
      <c r="B86" s="8">
        <v>19649</v>
      </c>
      <c r="C86" s="3">
        <f t="shared" si="2"/>
        <v>31389</v>
      </c>
      <c r="D86" s="9">
        <f t="shared" si="6"/>
        <v>0.37401637516327374</v>
      </c>
      <c r="E86" s="8">
        <v>19492</v>
      </c>
      <c r="F86" s="3">
        <f t="shared" si="3"/>
        <v>30522</v>
      </c>
      <c r="G86" s="10">
        <f t="shared" si="7"/>
        <v>0.36137867767511961</v>
      </c>
      <c r="H86" s="8">
        <f t="shared" si="5"/>
        <v>39141</v>
      </c>
      <c r="I86" s="5">
        <f t="shared" si="4"/>
        <v>61911</v>
      </c>
      <c r="J86" s="9">
        <f t="shared" si="8"/>
        <v>0.36778601540921646</v>
      </c>
      <c r="K86" s="12">
        <f t="shared" si="9"/>
        <v>0.50200556960731713</v>
      </c>
      <c r="L86" s="12">
        <f t="shared" si="10"/>
        <v>0.49799443039268287</v>
      </c>
    </row>
    <row r="87" spans="1:12" ht="13.2" x14ac:dyDescent="0.25">
      <c r="A87" s="6">
        <v>43617</v>
      </c>
      <c r="B87" s="8">
        <v>16767</v>
      </c>
      <c r="C87" s="3">
        <f t="shared" si="2"/>
        <v>24899</v>
      </c>
      <c r="D87" s="9">
        <f t="shared" si="6"/>
        <v>0.32659946182577615</v>
      </c>
      <c r="E87" s="8">
        <v>15297</v>
      </c>
      <c r="F87" s="3">
        <f t="shared" si="3"/>
        <v>22605</v>
      </c>
      <c r="G87" s="10">
        <f t="shared" si="7"/>
        <v>0.32329130723291305</v>
      </c>
      <c r="H87" s="8">
        <f t="shared" si="5"/>
        <v>32064</v>
      </c>
      <c r="I87" s="5">
        <f t="shared" si="4"/>
        <v>47504</v>
      </c>
      <c r="J87" s="9">
        <f t="shared" si="8"/>
        <v>0.32502526103065005</v>
      </c>
      <c r="K87" s="12">
        <f t="shared" si="9"/>
        <v>0.5229229041916168</v>
      </c>
      <c r="L87" s="12">
        <f t="shared" si="10"/>
        <v>0.47707709580838326</v>
      </c>
    </row>
    <row r="88" spans="1:12" ht="13.2" x14ac:dyDescent="0.25">
      <c r="A88" s="6">
        <v>43586</v>
      </c>
      <c r="B88" s="8">
        <v>13142</v>
      </c>
      <c r="C88" s="3">
        <f t="shared" si="2"/>
        <v>17510</v>
      </c>
      <c r="D88" s="9">
        <f t="shared" si="6"/>
        <v>0.24945745288406626</v>
      </c>
      <c r="E88" s="8">
        <v>13282</v>
      </c>
      <c r="F88" s="3">
        <f t="shared" si="3"/>
        <v>16982</v>
      </c>
      <c r="G88" s="10">
        <f t="shared" si="7"/>
        <v>0.21787775291485101</v>
      </c>
      <c r="H88" s="8">
        <f t="shared" si="5"/>
        <v>26424</v>
      </c>
      <c r="I88" s="5">
        <f t="shared" si="4"/>
        <v>34492</v>
      </c>
      <c r="J88" s="9">
        <f t="shared" si="8"/>
        <v>0.23390931230430245</v>
      </c>
      <c r="K88" s="12">
        <f t="shared" si="9"/>
        <v>0.49735089312745989</v>
      </c>
      <c r="L88" s="12">
        <f t="shared" si="10"/>
        <v>0.50264910687254016</v>
      </c>
    </row>
    <row r="89" spans="1:12" ht="13.2" x14ac:dyDescent="0.25">
      <c r="A89" s="6">
        <v>43556</v>
      </c>
      <c r="B89" s="8">
        <v>14930</v>
      </c>
      <c r="C89" s="3">
        <f t="shared" si="2"/>
        <v>19385</v>
      </c>
      <c r="D89" s="9">
        <f t="shared" si="6"/>
        <v>0.22981686871292237</v>
      </c>
      <c r="E89" s="8">
        <v>14693</v>
      </c>
      <c r="F89" s="3">
        <f t="shared" si="3"/>
        <v>20583</v>
      </c>
      <c r="G89" s="10">
        <f t="shared" si="7"/>
        <v>0.2861584802992761</v>
      </c>
      <c r="H89" s="8">
        <f t="shared" si="5"/>
        <v>29623</v>
      </c>
      <c r="I89" s="5">
        <f t="shared" si="4"/>
        <v>39968</v>
      </c>
      <c r="J89" s="9">
        <f t="shared" si="8"/>
        <v>0.25883206565252204</v>
      </c>
      <c r="K89" s="12">
        <f t="shared" si="9"/>
        <v>0.50400027006042603</v>
      </c>
      <c r="L89" s="12">
        <f t="shared" si="10"/>
        <v>0.49599972993957397</v>
      </c>
    </row>
    <row r="90" spans="1:12" ht="13.2" x14ac:dyDescent="0.25">
      <c r="A90" s="6">
        <v>43525</v>
      </c>
      <c r="B90" s="8">
        <v>11409</v>
      </c>
      <c r="C90" s="3">
        <f t="shared" si="2"/>
        <v>18719</v>
      </c>
      <c r="D90" s="9">
        <f t="shared" si="6"/>
        <v>0.3905123136919707</v>
      </c>
      <c r="E90" s="8">
        <v>11192</v>
      </c>
      <c r="F90" s="3">
        <f t="shared" si="3"/>
        <v>16606</v>
      </c>
      <c r="G90" s="10">
        <f t="shared" si="7"/>
        <v>0.32602673732385884</v>
      </c>
      <c r="H90" s="8">
        <f t="shared" si="5"/>
        <v>22601</v>
      </c>
      <c r="I90" s="5">
        <f t="shared" si="4"/>
        <v>35325</v>
      </c>
      <c r="J90" s="9">
        <f t="shared" si="8"/>
        <v>0.36019815994338289</v>
      </c>
      <c r="K90" s="12">
        <f t="shared" si="9"/>
        <v>0.50480067253661343</v>
      </c>
      <c r="L90" s="12">
        <f t="shared" si="10"/>
        <v>0.49519932746338657</v>
      </c>
    </row>
    <row r="91" spans="1:12" ht="13.2" x14ac:dyDescent="0.25">
      <c r="A91" s="6">
        <v>43497</v>
      </c>
      <c r="B91" s="8">
        <v>9620</v>
      </c>
      <c r="C91" s="3">
        <f t="shared" si="2"/>
        <v>12755</v>
      </c>
      <c r="D91" s="9">
        <f t="shared" si="6"/>
        <v>0.24578596628773031</v>
      </c>
      <c r="E91" s="8">
        <v>9718</v>
      </c>
      <c r="F91" s="3">
        <f t="shared" si="3"/>
        <v>12922</v>
      </c>
      <c r="G91" s="10">
        <f t="shared" si="7"/>
        <v>0.24794923386472681</v>
      </c>
      <c r="H91" s="8">
        <f t="shared" si="5"/>
        <v>19338</v>
      </c>
      <c r="I91" s="5">
        <f t="shared" si="4"/>
        <v>25677</v>
      </c>
      <c r="J91" s="9">
        <f t="shared" si="8"/>
        <v>0.2468746348872532</v>
      </c>
      <c r="K91" s="12">
        <f t="shared" si="9"/>
        <v>0.49746612886544628</v>
      </c>
      <c r="L91" s="12">
        <f t="shared" si="10"/>
        <v>0.50253387113455372</v>
      </c>
    </row>
    <row r="92" spans="1:12" ht="13.2" x14ac:dyDescent="0.25">
      <c r="A92" s="6">
        <v>43466</v>
      </c>
      <c r="B92" s="8">
        <v>11167</v>
      </c>
      <c r="C92" s="3">
        <f t="shared" si="2"/>
        <v>14279</v>
      </c>
      <c r="D92" s="9">
        <f t="shared" si="6"/>
        <v>0.21794243294348345</v>
      </c>
      <c r="E92" s="8">
        <v>10549</v>
      </c>
      <c r="F92" s="3">
        <f t="shared" si="3"/>
        <v>12899</v>
      </c>
      <c r="G92" s="10">
        <f t="shared" si="7"/>
        <v>0.18218466547794401</v>
      </c>
      <c r="H92" s="8">
        <f t="shared" si="5"/>
        <v>21716</v>
      </c>
      <c r="I92" s="5">
        <f t="shared" si="4"/>
        <v>27178</v>
      </c>
      <c r="J92" s="9">
        <f t="shared" si="8"/>
        <v>0.20097137390536463</v>
      </c>
      <c r="K92" s="12">
        <f t="shared" si="9"/>
        <v>0.51422913980475227</v>
      </c>
      <c r="L92" s="12">
        <f t="shared" si="10"/>
        <v>0.48577086019524773</v>
      </c>
    </row>
    <row r="93" spans="1:12" ht="13.2" x14ac:dyDescent="0.25">
      <c r="A93" s="6">
        <v>43435</v>
      </c>
      <c r="B93" s="8">
        <v>16328</v>
      </c>
      <c r="C93" s="3">
        <f t="shared" si="2"/>
        <v>14934</v>
      </c>
      <c r="D93" s="9">
        <f t="shared" si="6"/>
        <v>9.3344047140752645E-2</v>
      </c>
      <c r="E93" s="8">
        <v>17518</v>
      </c>
      <c r="F93" s="3">
        <f t="shared" si="3"/>
        <v>16044</v>
      </c>
      <c r="G93" s="10">
        <f t="shared" si="7"/>
        <v>9.1872351034654701E-2</v>
      </c>
      <c r="H93" s="8">
        <f t="shared" si="5"/>
        <v>33846</v>
      </c>
      <c r="I93" s="5">
        <f t="shared" si="4"/>
        <v>30978</v>
      </c>
      <c r="J93" s="9">
        <f t="shared" si="8"/>
        <v>9.2581832268061201E-2</v>
      </c>
      <c r="K93" s="12">
        <f t="shared" si="9"/>
        <v>0.48242037463806653</v>
      </c>
      <c r="L93" s="12">
        <f t="shared" si="10"/>
        <v>0.51757962536193347</v>
      </c>
    </row>
    <row r="94" spans="1:12" ht="13.2" x14ac:dyDescent="0.25">
      <c r="A94" s="6">
        <v>43405</v>
      </c>
      <c r="B94" s="8">
        <v>13971</v>
      </c>
      <c r="C94" s="3">
        <f t="shared" si="2"/>
        <v>13072</v>
      </c>
      <c r="D94" s="9">
        <f t="shared" si="6"/>
        <v>6.8772949816401474E-2</v>
      </c>
      <c r="E94" s="8">
        <v>13713</v>
      </c>
      <c r="F94" s="3">
        <f t="shared" si="3"/>
        <v>12713</v>
      </c>
      <c r="G94" s="10">
        <f t="shared" si="7"/>
        <v>7.8659639738849998E-2</v>
      </c>
      <c r="H94" s="8">
        <f t="shared" si="5"/>
        <v>27684</v>
      </c>
      <c r="I94" s="5">
        <f t="shared" si="4"/>
        <v>25785</v>
      </c>
      <c r="J94" s="9">
        <f t="shared" si="8"/>
        <v>7.3647469458987785E-2</v>
      </c>
      <c r="K94" s="12">
        <f t="shared" si="9"/>
        <v>0.50465973125270913</v>
      </c>
      <c r="L94" s="12">
        <f t="shared" si="10"/>
        <v>0.49534026874729087</v>
      </c>
    </row>
    <row r="95" spans="1:12" ht="13.2" x14ac:dyDescent="0.25">
      <c r="A95" s="6">
        <v>43374</v>
      </c>
      <c r="B95" s="8">
        <v>18515</v>
      </c>
      <c r="C95" s="3">
        <f t="shared" si="2"/>
        <v>17387</v>
      </c>
      <c r="D95" s="9">
        <f t="shared" si="6"/>
        <v>6.4876056824063957E-2</v>
      </c>
      <c r="E95" s="8">
        <v>18316</v>
      </c>
      <c r="F95" s="3">
        <f t="shared" si="3"/>
        <v>17323</v>
      </c>
      <c r="G95" s="10">
        <f t="shared" si="7"/>
        <v>5.7322634647578363E-2</v>
      </c>
      <c r="H95" s="8">
        <f t="shared" si="5"/>
        <v>36831</v>
      </c>
      <c r="I95" s="5">
        <f t="shared" si="4"/>
        <v>34710</v>
      </c>
      <c r="J95" s="9">
        <f t="shared" si="8"/>
        <v>6.1106309420916161E-2</v>
      </c>
      <c r="K95" s="12">
        <f t="shared" si="9"/>
        <v>0.50270152860362194</v>
      </c>
      <c r="L95" s="12">
        <f t="shared" si="10"/>
        <v>0.49729847139637806</v>
      </c>
    </row>
    <row r="96" spans="1:12" ht="13.2" x14ac:dyDescent="0.25">
      <c r="A96" s="6">
        <v>43344</v>
      </c>
      <c r="B96" s="8">
        <v>25802</v>
      </c>
      <c r="C96" s="3">
        <f t="shared" si="2"/>
        <v>20600</v>
      </c>
      <c r="D96" s="9">
        <f t="shared" si="6"/>
        <v>0.2525242718446602</v>
      </c>
      <c r="E96" s="8">
        <v>26692</v>
      </c>
      <c r="F96" s="3">
        <f t="shared" si="3"/>
        <v>21555</v>
      </c>
      <c r="G96" s="10">
        <f t="shared" si="7"/>
        <v>0.23832057527255857</v>
      </c>
      <c r="H96" s="8">
        <f t="shared" si="5"/>
        <v>52494</v>
      </c>
      <c r="I96" s="5">
        <f t="shared" si="4"/>
        <v>42155</v>
      </c>
      <c r="J96" s="9">
        <f t="shared" si="8"/>
        <v>0.24526153481200333</v>
      </c>
      <c r="K96" s="12">
        <f t="shared" si="9"/>
        <v>0.49152284070560442</v>
      </c>
      <c r="L96" s="12">
        <f t="shared" si="10"/>
        <v>0.50847715929439552</v>
      </c>
    </row>
    <row r="97" spans="1:12" ht="13.2" x14ac:dyDescent="0.25">
      <c r="A97" s="6">
        <v>43313</v>
      </c>
      <c r="B97" s="8">
        <v>31972</v>
      </c>
      <c r="C97" s="3">
        <f t="shared" si="2"/>
        <v>25498</v>
      </c>
      <c r="D97" s="9">
        <f t="shared" si="6"/>
        <v>0.25390226684445838</v>
      </c>
      <c r="E97" s="8">
        <v>32311</v>
      </c>
      <c r="F97" s="3">
        <f t="shared" si="3"/>
        <v>26488</v>
      </c>
      <c r="G97" s="10">
        <f t="shared" si="7"/>
        <v>0.21983539716097855</v>
      </c>
      <c r="H97" s="8">
        <f t="shared" si="5"/>
        <v>64283</v>
      </c>
      <c r="I97" s="5">
        <f t="shared" si="4"/>
        <v>51986</v>
      </c>
      <c r="J97" s="9">
        <f t="shared" si="8"/>
        <v>0.23654445427615128</v>
      </c>
      <c r="K97" s="12">
        <f t="shared" si="9"/>
        <v>0.49736322200270677</v>
      </c>
      <c r="L97" s="12">
        <f t="shared" si="10"/>
        <v>0.50263677799729323</v>
      </c>
    </row>
    <row r="98" spans="1:12" ht="13.2" x14ac:dyDescent="0.25">
      <c r="A98" s="6">
        <v>43282</v>
      </c>
      <c r="B98" s="8">
        <v>31389</v>
      </c>
      <c r="C98" s="3">
        <f t="shared" si="2"/>
        <v>25533</v>
      </c>
      <c r="D98" s="9">
        <f t="shared" si="6"/>
        <v>0.22935025261426389</v>
      </c>
      <c r="E98" s="8">
        <v>30522</v>
      </c>
      <c r="F98" s="3">
        <f t="shared" si="3"/>
        <v>24441</v>
      </c>
      <c r="G98" s="10">
        <f t="shared" si="7"/>
        <v>0.24880324045660979</v>
      </c>
      <c r="H98" s="8">
        <f t="shared" si="5"/>
        <v>61911</v>
      </c>
      <c r="I98" s="5">
        <f t="shared" si="4"/>
        <v>49974</v>
      </c>
      <c r="J98" s="9">
        <f t="shared" si="8"/>
        <v>0.23886420938888223</v>
      </c>
      <c r="K98" s="12">
        <f t="shared" si="9"/>
        <v>0.50700198672287644</v>
      </c>
      <c r="L98" s="12">
        <f t="shared" si="10"/>
        <v>0.49299801327712361</v>
      </c>
    </row>
    <row r="99" spans="1:12" ht="13.2" x14ac:dyDescent="0.25">
      <c r="A99" s="6">
        <v>43252</v>
      </c>
      <c r="B99" s="8">
        <v>24899</v>
      </c>
      <c r="C99" s="3">
        <f t="shared" si="2"/>
        <v>20528</v>
      </c>
      <c r="D99" s="9">
        <f t="shared" si="6"/>
        <v>0.21292868277474669</v>
      </c>
      <c r="E99" s="8">
        <v>22605</v>
      </c>
      <c r="F99" s="3">
        <f t="shared" si="3"/>
        <v>18799</v>
      </c>
      <c r="G99" s="10">
        <f t="shared" si="7"/>
        <v>0.20245757753071972</v>
      </c>
      <c r="H99" s="8">
        <f t="shared" si="5"/>
        <v>47504</v>
      </c>
      <c r="I99" s="5">
        <f t="shared" si="4"/>
        <v>39327</v>
      </c>
      <c r="J99" s="9">
        <f t="shared" si="8"/>
        <v>0.20792330968545783</v>
      </c>
      <c r="K99" s="12">
        <f t="shared" si="9"/>
        <v>0.52414533512967332</v>
      </c>
      <c r="L99" s="12">
        <f t="shared" si="10"/>
        <v>0.47585466487032668</v>
      </c>
    </row>
    <row r="100" spans="1:12" ht="13.2" x14ac:dyDescent="0.25">
      <c r="A100" s="6">
        <v>43221</v>
      </c>
      <c r="B100" s="8">
        <v>17510</v>
      </c>
      <c r="C100" s="3">
        <f t="shared" si="2"/>
        <v>16460</v>
      </c>
      <c r="D100" s="9">
        <f t="shared" si="6"/>
        <v>6.3791008505467803E-2</v>
      </c>
      <c r="E100" s="8">
        <v>16982</v>
      </c>
      <c r="F100" s="3">
        <f t="shared" si="3"/>
        <v>16784</v>
      </c>
      <c r="G100" s="10">
        <f t="shared" si="7"/>
        <v>1.1796949475691135E-2</v>
      </c>
      <c r="H100" s="8">
        <f t="shared" si="5"/>
        <v>34492</v>
      </c>
      <c r="I100" s="5">
        <f t="shared" si="4"/>
        <v>33244</v>
      </c>
      <c r="J100" s="9">
        <f t="shared" si="8"/>
        <v>3.7540608831668876E-2</v>
      </c>
      <c r="K100" s="12">
        <f t="shared" si="9"/>
        <v>0.50765394874173719</v>
      </c>
      <c r="L100" s="12">
        <f t="shared" si="10"/>
        <v>0.49234605125826281</v>
      </c>
    </row>
    <row r="101" spans="1:12" ht="13.2" x14ac:dyDescent="0.25">
      <c r="A101" s="6">
        <v>43191</v>
      </c>
      <c r="B101" s="8">
        <v>19385</v>
      </c>
      <c r="C101" s="3">
        <f t="shared" si="2"/>
        <v>20818</v>
      </c>
      <c r="D101" s="9">
        <f t="shared" si="6"/>
        <v>6.8834662311461237E-2</v>
      </c>
      <c r="E101" s="8">
        <v>20583</v>
      </c>
      <c r="F101" s="3">
        <f t="shared" si="3"/>
        <v>21435</v>
      </c>
      <c r="G101" s="10">
        <f t="shared" si="7"/>
        <v>3.9748075577326805E-2</v>
      </c>
      <c r="H101" s="8">
        <f t="shared" si="5"/>
        <v>39968</v>
      </c>
      <c r="I101" s="5">
        <f t="shared" si="4"/>
        <v>42253</v>
      </c>
      <c r="J101" s="9">
        <f t="shared" si="8"/>
        <v>5.4079000307670461E-2</v>
      </c>
      <c r="K101" s="12">
        <f t="shared" si="9"/>
        <v>0.48501301040832667</v>
      </c>
      <c r="L101" s="12">
        <f t="shared" si="10"/>
        <v>0.51498698959167333</v>
      </c>
    </row>
    <row r="102" spans="1:12" ht="13.2" x14ac:dyDescent="0.25">
      <c r="A102" s="6">
        <v>43160</v>
      </c>
      <c r="B102" s="8">
        <v>18719</v>
      </c>
      <c r="C102" s="3">
        <f t="shared" si="2"/>
        <v>19465</v>
      </c>
      <c r="D102" s="9">
        <f t="shared" si="6"/>
        <v>3.8325199075263293E-2</v>
      </c>
      <c r="E102" s="8">
        <v>16606</v>
      </c>
      <c r="F102" s="3">
        <f t="shared" si="3"/>
        <v>18007</v>
      </c>
      <c r="G102" s="10">
        <f t="shared" si="7"/>
        <v>7.7803076581329483E-2</v>
      </c>
      <c r="H102" s="8">
        <f t="shared" si="5"/>
        <v>35325</v>
      </c>
      <c r="I102" s="5">
        <f t="shared" si="4"/>
        <v>37472</v>
      </c>
      <c r="J102" s="9">
        <f t="shared" si="8"/>
        <v>5.7296114432109309E-2</v>
      </c>
      <c r="K102" s="12">
        <f t="shared" si="9"/>
        <v>0.52990799716914372</v>
      </c>
      <c r="L102" s="12">
        <f t="shared" si="10"/>
        <v>0.47009200283085634</v>
      </c>
    </row>
    <row r="103" spans="1:12" ht="13.2" x14ac:dyDescent="0.25">
      <c r="A103" s="6">
        <v>43132</v>
      </c>
      <c r="B103" s="8">
        <v>12755</v>
      </c>
      <c r="C103" s="3">
        <f t="shared" si="2"/>
        <v>11536</v>
      </c>
      <c r="D103" s="9">
        <f t="shared" si="6"/>
        <v>0.10566920943134535</v>
      </c>
      <c r="E103" s="8">
        <v>12922</v>
      </c>
      <c r="F103" s="3">
        <f t="shared" si="3"/>
        <v>11524</v>
      </c>
      <c r="G103" s="10">
        <f t="shared" si="7"/>
        <v>0.1213120444290177</v>
      </c>
      <c r="H103" s="8">
        <f t="shared" si="5"/>
        <v>25677</v>
      </c>
      <c r="I103" s="5">
        <f t="shared" si="4"/>
        <v>23060</v>
      </c>
      <c r="J103" s="9">
        <f t="shared" si="8"/>
        <v>0.1134865568083261</v>
      </c>
      <c r="K103" s="12">
        <f t="shared" si="9"/>
        <v>0.4967480624683569</v>
      </c>
      <c r="L103" s="12">
        <f t="shared" si="10"/>
        <v>0.5032519375316431</v>
      </c>
    </row>
    <row r="104" spans="1:12" ht="13.2" x14ac:dyDescent="0.25">
      <c r="A104" s="6">
        <v>43101</v>
      </c>
      <c r="B104" s="8">
        <v>14279</v>
      </c>
      <c r="C104" s="3">
        <f t="shared" si="2"/>
        <v>13672</v>
      </c>
      <c r="D104" s="9">
        <f t="shared" si="6"/>
        <v>4.4397308367466352E-2</v>
      </c>
      <c r="E104" s="8">
        <v>12899</v>
      </c>
      <c r="F104" s="3">
        <f t="shared" si="3"/>
        <v>12526</v>
      </c>
      <c r="G104" s="10">
        <f t="shared" si="7"/>
        <v>2.9778061631805845E-2</v>
      </c>
      <c r="H104" s="8">
        <f t="shared" si="5"/>
        <v>27178</v>
      </c>
      <c r="I104" s="5">
        <f t="shared" si="4"/>
        <v>26198</v>
      </c>
      <c r="J104" s="9">
        <f t="shared" si="8"/>
        <v>3.740743568211314E-2</v>
      </c>
      <c r="K104" s="12">
        <f t="shared" si="9"/>
        <v>0.52538818161748468</v>
      </c>
      <c r="L104" s="12">
        <f t="shared" si="10"/>
        <v>0.47461181838251526</v>
      </c>
    </row>
    <row r="105" spans="1:12" ht="13.2" x14ac:dyDescent="0.25">
      <c r="A105" s="6">
        <v>43070</v>
      </c>
      <c r="B105" s="8">
        <v>14934</v>
      </c>
      <c r="C105" s="3">
        <f t="shared" si="2"/>
        <v>15864</v>
      </c>
      <c r="D105" s="9">
        <f t="shared" si="6"/>
        <v>5.8623298033282902E-2</v>
      </c>
      <c r="E105" s="8">
        <v>16044</v>
      </c>
      <c r="F105" s="3">
        <f t="shared" si="3"/>
        <v>16499</v>
      </c>
      <c r="G105" s="10">
        <f t="shared" si="7"/>
        <v>2.7577428935086974E-2</v>
      </c>
      <c r="H105" s="8">
        <f t="shared" si="5"/>
        <v>30978</v>
      </c>
      <c r="I105" s="5">
        <f t="shared" si="4"/>
        <v>32363</v>
      </c>
      <c r="J105" s="9">
        <f t="shared" si="8"/>
        <v>4.2795785310385318E-2</v>
      </c>
      <c r="K105" s="12">
        <f t="shared" si="9"/>
        <v>0.48208405965523921</v>
      </c>
      <c r="L105" s="12">
        <f t="shared" si="10"/>
        <v>0.51791594034476085</v>
      </c>
    </row>
    <row r="106" spans="1:12" ht="13.2" x14ac:dyDescent="0.25">
      <c r="A106" s="6">
        <v>43040</v>
      </c>
      <c r="B106" s="8">
        <v>13072</v>
      </c>
      <c r="C106" s="3">
        <f t="shared" si="2"/>
        <v>13779</v>
      </c>
      <c r="D106" s="9">
        <f t="shared" si="6"/>
        <v>5.1309964438638507E-2</v>
      </c>
      <c r="E106" s="8">
        <v>12713</v>
      </c>
      <c r="F106" s="3">
        <f t="shared" si="3"/>
        <v>12874</v>
      </c>
      <c r="G106" s="10">
        <f t="shared" si="7"/>
        <v>1.2505825695199627E-2</v>
      </c>
      <c r="H106" s="8">
        <f t="shared" si="5"/>
        <v>25785</v>
      </c>
      <c r="I106" s="5">
        <f t="shared" si="4"/>
        <v>26653</v>
      </c>
      <c r="J106" s="9">
        <f t="shared" si="8"/>
        <v>3.2566690428844781E-2</v>
      </c>
      <c r="K106" s="12">
        <f t="shared" si="9"/>
        <v>0.50696141167345354</v>
      </c>
      <c r="L106" s="12">
        <f t="shared" si="10"/>
        <v>0.49303858832654646</v>
      </c>
    </row>
    <row r="107" spans="1:12" ht="13.2" x14ac:dyDescent="0.25">
      <c r="A107" s="6">
        <v>43009</v>
      </c>
      <c r="B107" s="8">
        <v>17387</v>
      </c>
      <c r="C107" s="3">
        <f t="shared" si="2"/>
        <v>16399</v>
      </c>
      <c r="D107" s="9">
        <f t="shared" si="6"/>
        <v>6.0247576071711689E-2</v>
      </c>
      <c r="E107" s="8">
        <v>17323</v>
      </c>
      <c r="F107" s="3">
        <f t="shared" si="3"/>
        <v>16045</v>
      </c>
      <c r="G107" s="10">
        <f t="shared" si="7"/>
        <v>7.965098161421004E-2</v>
      </c>
      <c r="H107" s="8">
        <f t="shared" si="5"/>
        <v>34710</v>
      </c>
      <c r="I107" s="5">
        <f t="shared" si="4"/>
        <v>32444</v>
      </c>
      <c r="J107" s="9">
        <f t="shared" si="8"/>
        <v>6.9843422512637157E-2</v>
      </c>
      <c r="K107" s="12">
        <f t="shared" si="9"/>
        <v>0.50092192451743012</v>
      </c>
      <c r="L107" s="12">
        <f t="shared" si="10"/>
        <v>0.49907807548256988</v>
      </c>
    </row>
    <row r="108" spans="1:12" ht="13.2" x14ac:dyDescent="0.25">
      <c r="A108" s="6">
        <v>42979</v>
      </c>
      <c r="B108" s="8">
        <v>20600</v>
      </c>
      <c r="C108" s="3">
        <f t="shared" si="2"/>
        <v>17968</v>
      </c>
      <c r="D108" s="9">
        <f t="shared" si="6"/>
        <v>0.1464826357969724</v>
      </c>
      <c r="E108" s="8">
        <v>21555</v>
      </c>
      <c r="F108" s="3">
        <f t="shared" si="3"/>
        <v>18448</v>
      </c>
      <c r="G108" s="10">
        <f t="shared" si="7"/>
        <v>0.16841934084995663</v>
      </c>
      <c r="H108" s="8">
        <f t="shared" si="5"/>
        <v>42155</v>
      </c>
      <c r="I108" s="5">
        <f t="shared" si="4"/>
        <v>36416</v>
      </c>
      <c r="J108" s="9">
        <f t="shared" si="8"/>
        <v>0.15759556239015818</v>
      </c>
      <c r="K108" s="12">
        <f t="shared" si="9"/>
        <v>0.48867275530779269</v>
      </c>
      <c r="L108" s="12">
        <f t="shared" si="10"/>
        <v>0.51132724469220736</v>
      </c>
    </row>
    <row r="109" spans="1:12" ht="13.2" x14ac:dyDescent="0.25">
      <c r="A109" s="6">
        <v>42948</v>
      </c>
      <c r="B109" s="8">
        <v>25498</v>
      </c>
      <c r="C109" s="3">
        <f t="shared" si="2"/>
        <v>23513</v>
      </c>
      <c r="D109" s="9">
        <f t="shared" si="6"/>
        <v>8.4421383915280909E-2</v>
      </c>
      <c r="E109" s="8">
        <v>26488</v>
      </c>
      <c r="F109" s="3">
        <f t="shared" si="3"/>
        <v>23266</v>
      </c>
      <c r="G109" s="10">
        <f t="shared" si="7"/>
        <v>0.13848534341958221</v>
      </c>
      <c r="H109" s="8">
        <f t="shared" si="5"/>
        <v>51986</v>
      </c>
      <c r="I109" s="5">
        <f t="shared" si="4"/>
        <v>46779</v>
      </c>
      <c r="J109" s="9">
        <f t="shared" si="8"/>
        <v>0.11131063083862416</v>
      </c>
      <c r="K109" s="12">
        <f t="shared" si="9"/>
        <v>0.49047820567075751</v>
      </c>
      <c r="L109" s="12">
        <f t="shared" si="10"/>
        <v>0.50952179432924249</v>
      </c>
    </row>
    <row r="110" spans="1:12" ht="13.2" x14ac:dyDescent="0.25">
      <c r="A110" s="6">
        <v>42917</v>
      </c>
      <c r="B110" s="8">
        <v>25533</v>
      </c>
      <c r="C110" s="3">
        <f t="shared" si="2"/>
        <v>22853</v>
      </c>
      <c r="D110" s="9">
        <f t="shared" si="6"/>
        <v>0.11727125541504398</v>
      </c>
      <c r="E110" s="8">
        <v>24441</v>
      </c>
      <c r="F110" s="3">
        <f t="shared" si="3"/>
        <v>22108</v>
      </c>
      <c r="G110" s="10">
        <f t="shared" si="7"/>
        <v>0.10552741089198481</v>
      </c>
      <c r="H110" s="8">
        <f t="shared" si="5"/>
        <v>49974</v>
      </c>
      <c r="I110" s="5">
        <f t="shared" si="4"/>
        <v>44961</v>
      </c>
      <c r="J110" s="9">
        <f t="shared" si="8"/>
        <v>0.11149663041302463</v>
      </c>
      <c r="K110" s="12">
        <f t="shared" si="9"/>
        <v>0.51092568135430427</v>
      </c>
      <c r="L110" s="12">
        <f t="shared" si="10"/>
        <v>0.48907431864569578</v>
      </c>
    </row>
    <row r="111" spans="1:12" ht="13.2" x14ac:dyDescent="0.25">
      <c r="A111" s="6">
        <v>42887</v>
      </c>
      <c r="B111" s="8">
        <v>20528</v>
      </c>
      <c r="C111" s="3">
        <f t="shared" si="2"/>
        <v>18948</v>
      </c>
      <c r="D111" s="9">
        <f t="shared" si="6"/>
        <v>8.3386109351910487E-2</v>
      </c>
      <c r="E111" s="8">
        <v>18799</v>
      </c>
      <c r="F111" s="3">
        <f t="shared" si="3"/>
        <v>18228</v>
      </c>
      <c r="G111" s="10">
        <f t="shared" si="7"/>
        <v>3.1325433399166117E-2</v>
      </c>
      <c r="H111" s="8">
        <f t="shared" si="5"/>
        <v>39327</v>
      </c>
      <c r="I111" s="5">
        <f t="shared" si="4"/>
        <v>37176</v>
      </c>
      <c r="J111" s="9">
        <f t="shared" si="8"/>
        <v>5.7859909619109105E-2</v>
      </c>
      <c r="K111" s="12">
        <f t="shared" si="9"/>
        <v>0.52198235309075192</v>
      </c>
      <c r="L111" s="12">
        <f t="shared" si="10"/>
        <v>0.47801764690924808</v>
      </c>
    </row>
    <row r="112" spans="1:12" ht="13.2" x14ac:dyDescent="0.25">
      <c r="A112" s="6">
        <v>42856</v>
      </c>
      <c r="B112" s="8">
        <v>16460</v>
      </c>
      <c r="C112" s="3">
        <f t="shared" si="2"/>
        <v>16668</v>
      </c>
      <c r="D112" s="9">
        <f t="shared" si="6"/>
        <v>1.247900167986561E-2</v>
      </c>
      <c r="E112" s="8">
        <v>16784</v>
      </c>
      <c r="F112" s="3">
        <f t="shared" si="3"/>
        <v>16748</v>
      </c>
      <c r="G112" s="10">
        <f t="shared" si="7"/>
        <v>2.1495103893002148E-3</v>
      </c>
      <c r="H112" s="8">
        <f t="shared" si="5"/>
        <v>33244</v>
      </c>
      <c r="I112" s="5">
        <f t="shared" si="4"/>
        <v>33416</v>
      </c>
      <c r="J112" s="9">
        <f t="shared" si="8"/>
        <v>5.1472348575532676E-3</v>
      </c>
      <c r="K112" s="12">
        <f t="shared" si="9"/>
        <v>0.4951269401997353</v>
      </c>
      <c r="L112" s="12">
        <f t="shared" si="10"/>
        <v>0.50487305980026476</v>
      </c>
    </row>
    <row r="113" spans="1:12" ht="13.2" x14ac:dyDescent="0.25">
      <c r="A113" s="6">
        <v>42826</v>
      </c>
      <c r="B113" s="8">
        <v>20818</v>
      </c>
      <c r="C113" s="3">
        <f t="shared" si="2"/>
        <v>17864</v>
      </c>
      <c r="D113" s="9">
        <f t="shared" si="6"/>
        <v>0.16536050156739812</v>
      </c>
      <c r="E113" s="8">
        <v>21435</v>
      </c>
      <c r="F113" s="3">
        <f t="shared" si="3"/>
        <v>16973</v>
      </c>
      <c r="G113" s="10">
        <f t="shared" si="7"/>
        <v>0.26288811642019677</v>
      </c>
      <c r="H113" s="8">
        <f t="shared" si="5"/>
        <v>42253</v>
      </c>
      <c r="I113" s="5">
        <f t="shared" si="4"/>
        <v>34837</v>
      </c>
      <c r="J113" s="9">
        <f t="shared" si="8"/>
        <v>0.21287711341389901</v>
      </c>
      <c r="K113" s="12">
        <f t="shared" si="9"/>
        <v>0.49269874328450053</v>
      </c>
      <c r="L113" s="12">
        <f t="shared" si="10"/>
        <v>0.50730125671549953</v>
      </c>
    </row>
    <row r="114" spans="1:12" ht="13.2" x14ac:dyDescent="0.25">
      <c r="A114" s="6">
        <v>42795</v>
      </c>
      <c r="B114" s="8">
        <v>19465</v>
      </c>
      <c r="C114" s="3">
        <f t="shared" si="2"/>
        <v>19975</v>
      </c>
      <c r="D114" s="9">
        <f t="shared" si="6"/>
        <v>2.553191489361702E-2</v>
      </c>
      <c r="E114" s="8">
        <v>18007</v>
      </c>
      <c r="F114" s="3">
        <f t="shared" si="3"/>
        <v>19774</v>
      </c>
      <c r="G114" s="10">
        <f t="shared" si="7"/>
        <v>8.9359765348437342E-2</v>
      </c>
      <c r="H114" s="8">
        <f t="shared" si="5"/>
        <v>37472</v>
      </c>
      <c r="I114" s="5">
        <f t="shared" si="4"/>
        <v>39749</v>
      </c>
      <c r="J114" s="9">
        <f t="shared" si="8"/>
        <v>5.7284459986414751E-2</v>
      </c>
      <c r="K114" s="12">
        <f t="shared" si="9"/>
        <v>0.51945452604611442</v>
      </c>
      <c r="L114" s="12">
        <f t="shared" si="10"/>
        <v>0.48054547395388558</v>
      </c>
    </row>
    <row r="115" spans="1:12" ht="13.2" x14ac:dyDescent="0.25">
      <c r="A115" s="6">
        <v>42767</v>
      </c>
      <c r="B115" s="8">
        <v>11536</v>
      </c>
      <c r="C115" s="3">
        <f t="shared" si="2"/>
        <v>13800</v>
      </c>
      <c r="D115" s="9">
        <f t="shared" si="6"/>
        <v>0.16405797101449276</v>
      </c>
      <c r="E115" s="8">
        <v>11524</v>
      </c>
      <c r="F115" s="3">
        <f t="shared" si="3"/>
        <v>13377</v>
      </c>
      <c r="G115" s="10">
        <f t="shared" si="7"/>
        <v>0.13852134260297524</v>
      </c>
      <c r="H115" s="8">
        <f t="shared" si="5"/>
        <v>23060</v>
      </c>
      <c r="I115" s="5">
        <f t="shared" si="4"/>
        <v>27177</v>
      </c>
      <c r="J115" s="9">
        <f t="shared" si="8"/>
        <v>0.15148839091879163</v>
      </c>
      <c r="K115" s="12">
        <f t="shared" si="9"/>
        <v>0.50026019080659145</v>
      </c>
      <c r="L115" s="12">
        <f t="shared" si="10"/>
        <v>0.49973980919340849</v>
      </c>
    </row>
    <row r="116" spans="1:12" ht="13.2" x14ac:dyDescent="0.25">
      <c r="A116" s="6">
        <v>42736</v>
      </c>
      <c r="B116" s="8">
        <v>13672</v>
      </c>
      <c r="C116" s="3">
        <f t="shared" si="2"/>
        <v>14346</v>
      </c>
      <c r="D116" s="9">
        <f t="shared" si="6"/>
        <v>4.6981737069566432E-2</v>
      </c>
      <c r="E116" s="8">
        <v>12526</v>
      </c>
      <c r="F116" s="3">
        <f t="shared" si="3"/>
        <v>12734</v>
      </c>
      <c r="G116" s="10">
        <f t="shared" si="7"/>
        <v>1.6334223339092194E-2</v>
      </c>
      <c r="H116" s="8">
        <f t="shared" si="5"/>
        <v>26198</v>
      </c>
      <c r="I116" s="5">
        <f t="shared" si="4"/>
        <v>27080</v>
      </c>
      <c r="J116" s="9">
        <f t="shared" si="8"/>
        <v>3.2570162481536186E-2</v>
      </c>
      <c r="K116" s="12">
        <f t="shared" si="9"/>
        <v>0.52187189861821515</v>
      </c>
      <c r="L116" s="12">
        <f t="shared" si="10"/>
        <v>0.47812810138178485</v>
      </c>
    </row>
    <row r="117" spans="1:12" ht="13.2" x14ac:dyDescent="0.25">
      <c r="A117" s="6">
        <v>42705</v>
      </c>
      <c r="B117" s="8">
        <v>15864</v>
      </c>
      <c r="C117" s="3">
        <f t="shared" si="2"/>
        <v>15744</v>
      </c>
      <c r="D117" s="9">
        <f t="shared" si="6"/>
        <v>7.621951219512195E-3</v>
      </c>
      <c r="E117" s="8">
        <v>16499</v>
      </c>
      <c r="F117" s="3">
        <f t="shared" si="3"/>
        <v>16998</v>
      </c>
      <c r="G117" s="10">
        <f t="shared" si="7"/>
        <v>2.9356394869984703E-2</v>
      </c>
      <c r="H117" s="8">
        <f t="shared" si="5"/>
        <v>32363</v>
      </c>
      <c r="I117" s="5">
        <f t="shared" si="4"/>
        <v>32742</v>
      </c>
      <c r="J117" s="9">
        <f t="shared" si="8"/>
        <v>1.1575346649563252E-2</v>
      </c>
      <c r="K117" s="12">
        <f t="shared" si="9"/>
        <v>0.49018941383678893</v>
      </c>
      <c r="L117" s="12">
        <f t="shared" si="10"/>
        <v>0.50981058616321107</v>
      </c>
    </row>
    <row r="118" spans="1:12" ht="13.2" x14ac:dyDescent="0.25">
      <c r="A118" s="6">
        <v>42675</v>
      </c>
      <c r="B118" s="8">
        <v>13779</v>
      </c>
      <c r="C118" s="3">
        <f t="shared" si="2"/>
        <v>12443</v>
      </c>
      <c r="D118" s="9">
        <f t="shared" si="6"/>
        <v>0.10736960540062686</v>
      </c>
      <c r="E118" s="8">
        <v>12874</v>
      </c>
      <c r="F118" s="3">
        <f t="shared" si="3"/>
        <v>11270</v>
      </c>
      <c r="G118" s="10">
        <f t="shared" si="7"/>
        <v>0.14232475598935226</v>
      </c>
      <c r="H118" s="8">
        <f t="shared" si="5"/>
        <v>26653</v>
      </c>
      <c r="I118" s="5">
        <f t="shared" si="4"/>
        <v>23713</v>
      </c>
      <c r="J118" s="9">
        <f t="shared" si="8"/>
        <v>0.12398262556403661</v>
      </c>
      <c r="K118" s="12">
        <f t="shared" si="9"/>
        <v>0.51697745094360859</v>
      </c>
      <c r="L118" s="12">
        <f t="shared" si="10"/>
        <v>0.48302254905639141</v>
      </c>
    </row>
    <row r="119" spans="1:12" ht="13.2" x14ac:dyDescent="0.25">
      <c r="A119" s="6">
        <v>42644</v>
      </c>
      <c r="B119" s="8">
        <v>16399</v>
      </c>
      <c r="C119" s="3">
        <f t="shared" si="2"/>
        <v>16722</v>
      </c>
      <c r="D119" s="9">
        <f t="shared" si="6"/>
        <v>1.9315871307259896E-2</v>
      </c>
      <c r="E119" s="8">
        <v>16045</v>
      </c>
      <c r="F119" s="3">
        <f t="shared" si="3"/>
        <v>16275</v>
      </c>
      <c r="G119" s="10">
        <f t="shared" si="7"/>
        <v>1.41321044546851E-2</v>
      </c>
      <c r="H119" s="8">
        <f t="shared" si="5"/>
        <v>32444</v>
      </c>
      <c r="I119" s="5">
        <f t="shared" si="4"/>
        <v>32997</v>
      </c>
      <c r="J119" s="9">
        <f t="shared" si="8"/>
        <v>1.6759099312058674E-2</v>
      </c>
      <c r="K119" s="12">
        <f t="shared" si="9"/>
        <v>0.50545555418567378</v>
      </c>
      <c r="L119" s="12">
        <f t="shared" si="10"/>
        <v>0.49454444581432622</v>
      </c>
    </row>
    <row r="120" spans="1:12" ht="13.2" x14ac:dyDescent="0.25">
      <c r="A120" s="6">
        <v>42614</v>
      </c>
      <c r="B120" s="8">
        <v>17968</v>
      </c>
      <c r="C120" s="3">
        <f t="shared" si="2"/>
        <v>20157</v>
      </c>
      <c r="D120" s="9">
        <f t="shared" si="6"/>
        <v>0.10859750955003225</v>
      </c>
      <c r="E120" s="8">
        <v>18448</v>
      </c>
      <c r="F120" s="3">
        <f t="shared" si="3"/>
        <v>20898</v>
      </c>
      <c r="G120" s="10">
        <f t="shared" si="7"/>
        <v>0.11723609914824384</v>
      </c>
      <c r="H120" s="8">
        <f t="shared" si="5"/>
        <v>36416</v>
      </c>
      <c r="I120" s="5">
        <f t="shared" si="4"/>
        <v>41055</v>
      </c>
      <c r="J120" s="9">
        <f t="shared" si="8"/>
        <v>0.11299476312264035</v>
      </c>
      <c r="K120" s="12">
        <f t="shared" si="9"/>
        <v>0.49340949033391918</v>
      </c>
      <c r="L120" s="12">
        <f t="shared" si="10"/>
        <v>0.50659050966608088</v>
      </c>
    </row>
    <row r="121" spans="1:12" ht="13.2" x14ac:dyDescent="0.25">
      <c r="A121" s="6">
        <v>42583</v>
      </c>
      <c r="B121" s="8">
        <v>23513</v>
      </c>
      <c r="C121" s="3">
        <f t="shared" si="2"/>
        <v>24750</v>
      </c>
      <c r="D121" s="9">
        <f t="shared" si="6"/>
        <v>4.9979797979797978E-2</v>
      </c>
      <c r="E121" s="8">
        <v>23266</v>
      </c>
      <c r="F121" s="3">
        <f t="shared" si="3"/>
        <v>24556</v>
      </c>
      <c r="G121" s="10">
        <f t="shared" si="7"/>
        <v>5.2532985828310799E-2</v>
      </c>
      <c r="H121" s="8">
        <f t="shared" si="5"/>
        <v>46779</v>
      </c>
      <c r="I121" s="5">
        <f t="shared" si="4"/>
        <v>49306</v>
      </c>
      <c r="J121" s="9">
        <f t="shared" si="8"/>
        <v>5.1251369001744207E-2</v>
      </c>
      <c r="K121" s="12">
        <f t="shared" si="9"/>
        <v>0.50264007353727103</v>
      </c>
      <c r="L121" s="12">
        <f t="shared" si="10"/>
        <v>0.49735992646272903</v>
      </c>
    </row>
    <row r="122" spans="1:12" ht="13.2" x14ac:dyDescent="0.25">
      <c r="A122" s="6">
        <v>42552</v>
      </c>
      <c r="B122" s="8">
        <v>22853</v>
      </c>
      <c r="C122" s="3">
        <f t="shared" ref="C122:C185" si="11">B134</f>
        <v>23981</v>
      </c>
      <c r="D122" s="9">
        <f t="shared" si="6"/>
        <v>4.7037237813268837E-2</v>
      </c>
      <c r="E122" s="8">
        <v>22108</v>
      </c>
      <c r="F122" s="3">
        <f t="shared" ref="F122:F185" si="12">E134</f>
        <v>23431</v>
      </c>
      <c r="G122" s="10">
        <f t="shared" si="7"/>
        <v>5.6463659254833341E-2</v>
      </c>
      <c r="H122" s="8">
        <f t="shared" si="5"/>
        <v>44961</v>
      </c>
      <c r="I122" s="5">
        <f t="shared" ref="I122:I185" si="13">H134</f>
        <v>47412</v>
      </c>
      <c r="J122" s="9">
        <f t="shared" si="8"/>
        <v>5.1695773221969124E-2</v>
      </c>
      <c r="K122" s="12">
        <f t="shared" si="9"/>
        <v>0.50828495807477592</v>
      </c>
      <c r="L122" s="12">
        <f t="shared" si="10"/>
        <v>0.49171504192522408</v>
      </c>
    </row>
    <row r="123" spans="1:12" ht="13.2" x14ac:dyDescent="0.25">
      <c r="A123" s="6">
        <v>42522</v>
      </c>
      <c r="B123" s="8">
        <v>18948</v>
      </c>
      <c r="C123" s="3">
        <f t="shared" si="11"/>
        <v>18492</v>
      </c>
      <c r="D123" s="9">
        <f t="shared" si="6"/>
        <v>2.4659312134977289E-2</v>
      </c>
      <c r="E123" s="8">
        <v>18228</v>
      </c>
      <c r="F123" s="3">
        <f t="shared" si="12"/>
        <v>17110</v>
      </c>
      <c r="G123" s="10">
        <f t="shared" si="7"/>
        <v>6.5341905318527183E-2</v>
      </c>
      <c r="H123" s="8">
        <f t="shared" si="5"/>
        <v>37176</v>
      </c>
      <c r="I123" s="5">
        <f t="shared" si="13"/>
        <v>35602</v>
      </c>
      <c r="J123" s="9">
        <f t="shared" si="8"/>
        <v>4.4210999382057185E-2</v>
      </c>
      <c r="K123" s="12">
        <f t="shared" si="9"/>
        <v>0.50968366688185929</v>
      </c>
      <c r="L123" s="12">
        <f t="shared" si="10"/>
        <v>0.49031633311814071</v>
      </c>
    </row>
    <row r="124" spans="1:12" ht="13.2" x14ac:dyDescent="0.25">
      <c r="A124" s="6">
        <v>42491</v>
      </c>
      <c r="B124" s="8">
        <v>16668</v>
      </c>
      <c r="C124" s="3">
        <f t="shared" si="11"/>
        <v>15096</v>
      </c>
      <c r="D124" s="9">
        <f t="shared" si="6"/>
        <v>0.1041335453100159</v>
      </c>
      <c r="E124" s="8">
        <v>16748</v>
      </c>
      <c r="F124" s="3">
        <f t="shared" si="12"/>
        <v>15136</v>
      </c>
      <c r="G124" s="10">
        <f t="shared" si="7"/>
        <v>0.10650105708245243</v>
      </c>
      <c r="H124" s="8">
        <f t="shared" si="5"/>
        <v>33416</v>
      </c>
      <c r="I124" s="5">
        <f t="shared" si="13"/>
        <v>30232</v>
      </c>
      <c r="J124" s="9">
        <f t="shared" si="8"/>
        <v>0.10531886742524478</v>
      </c>
      <c r="K124" s="12">
        <f t="shared" si="9"/>
        <v>0.49880296863777829</v>
      </c>
      <c r="L124" s="12">
        <f t="shared" si="10"/>
        <v>0.50119703136222171</v>
      </c>
    </row>
    <row r="125" spans="1:12" ht="13.2" x14ac:dyDescent="0.25">
      <c r="A125" s="6">
        <v>42461</v>
      </c>
      <c r="B125" s="8">
        <v>17864</v>
      </c>
      <c r="C125" s="3">
        <f t="shared" si="11"/>
        <v>19560</v>
      </c>
      <c r="D125" s="9">
        <f t="shared" si="6"/>
        <v>8.6707566462167693E-2</v>
      </c>
      <c r="E125" s="8">
        <v>16973</v>
      </c>
      <c r="F125" s="3">
        <f t="shared" si="12"/>
        <v>19420</v>
      </c>
      <c r="G125" s="10">
        <f t="shared" si="7"/>
        <v>0.12600411946446963</v>
      </c>
      <c r="H125" s="8">
        <f t="shared" si="5"/>
        <v>34837</v>
      </c>
      <c r="I125" s="5">
        <f t="shared" si="13"/>
        <v>38980</v>
      </c>
      <c r="J125" s="9">
        <f t="shared" si="8"/>
        <v>0.10628527449974345</v>
      </c>
      <c r="K125" s="12">
        <f t="shared" si="9"/>
        <v>0.51278812756551939</v>
      </c>
      <c r="L125" s="12">
        <f t="shared" si="10"/>
        <v>0.48721187243448061</v>
      </c>
    </row>
    <row r="126" spans="1:12" ht="13.2" x14ac:dyDescent="0.25">
      <c r="A126" s="6">
        <v>42430</v>
      </c>
      <c r="B126" s="8">
        <v>19975</v>
      </c>
      <c r="C126" s="3">
        <f t="shared" si="11"/>
        <v>18378</v>
      </c>
      <c r="D126" s="9">
        <f t="shared" si="6"/>
        <v>8.6897377298944395E-2</v>
      </c>
      <c r="E126" s="8">
        <v>19774</v>
      </c>
      <c r="F126" s="3">
        <f t="shared" si="12"/>
        <v>17419</v>
      </c>
      <c r="G126" s="10">
        <f t="shared" si="7"/>
        <v>0.13519719846145015</v>
      </c>
      <c r="H126" s="8">
        <f t="shared" si="5"/>
        <v>39749</v>
      </c>
      <c r="I126" s="5">
        <f t="shared" si="13"/>
        <v>35797</v>
      </c>
      <c r="J126" s="9">
        <f t="shared" si="8"/>
        <v>0.11040031287538062</v>
      </c>
      <c r="K126" s="12">
        <f t="shared" si="9"/>
        <v>0.50252836549347157</v>
      </c>
      <c r="L126" s="12">
        <f t="shared" si="10"/>
        <v>0.49747163450652848</v>
      </c>
    </row>
    <row r="127" spans="1:12" ht="13.2" x14ac:dyDescent="0.25">
      <c r="A127" s="6">
        <v>42401</v>
      </c>
      <c r="B127" s="8">
        <v>13800</v>
      </c>
      <c r="C127" s="3">
        <f t="shared" si="11"/>
        <v>14950</v>
      </c>
      <c r="D127" s="9">
        <f t="shared" si="6"/>
        <v>7.6923076923076927E-2</v>
      </c>
      <c r="E127" s="8">
        <v>13377</v>
      </c>
      <c r="F127" s="3">
        <f t="shared" si="12"/>
        <v>14806</v>
      </c>
      <c r="G127" s="10">
        <f t="shared" si="7"/>
        <v>9.6514926381196811E-2</v>
      </c>
      <c r="H127" s="8">
        <f t="shared" si="5"/>
        <v>27177</v>
      </c>
      <c r="I127" s="5">
        <f t="shared" si="13"/>
        <v>29756</v>
      </c>
      <c r="J127" s="9">
        <f t="shared" si="8"/>
        <v>8.6671595644575883E-2</v>
      </c>
      <c r="K127" s="12">
        <f t="shared" si="9"/>
        <v>0.50778231592891043</v>
      </c>
      <c r="L127" s="12">
        <f t="shared" si="10"/>
        <v>0.49221768407108951</v>
      </c>
    </row>
    <row r="128" spans="1:12" ht="13.2" x14ac:dyDescent="0.25">
      <c r="A128" s="6">
        <v>42370</v>
      </c>
      <c r="B128" s="8">
        <v>14346</v>
      </c>
      <c r="C128" s="3">
        <f t="shared" si="11"/>
        <v>14159</v>
      </c>
      <c r="D128" s="9">
        <f t="shared" si="6"/>
        <v>1.3207147397415072E-2</v>
      </c>
      <c r="E128" s="8">
        <v>12734</v>
      </c>
      <c r="F128" s="3">
        <f t="shared" si="12"/>
        <v>12281</v>
      </c>
      <c r="G128" s="10">
        <f t="shared" si="7"/>
        <v>3.6886247048285969E-2</v>
      </c>
      <c r="H128" s="8">
        <f t="shared" si="5"/>
        <v>27080</v>
      </c>
      <c r="I128" s="5">
        <f t="shared" si="13"/>
        <v>26440</v>
      </c>
      <c r="J128" s="9">
        <f t="shared" si="8"/>
        <v>2.4205748865355523E-2</v>
      </c>
      <c r="K128" s="12">
        <f t="shared" si="9"/>
        <v>0.52976366322008861</v>
      </c>
      <c r="L128" s="12">
        <f t="shared" si="10"/>
        <v>0.47023633677991139</v>
      </c>
    </row>
    <row r="129" spans="1:12" ht="13.2" x14ac:dyDescent="0.25">
      <c r="A129" s="6">
        <v>42339</v>
      </c>
      <c r="B129" s="8">
        <v>15744</v>
      </c>
      <c r="C129" s="3">
        <f t="shared" si="11"/>
        <v>16343</v>
      </c>
      <c r="D129" s="9">
        <f t="shared" si="6"/>
        <v>3.6651777519427275E-2</v>
      </c>
      <c r="E129" s="8">
        <v>16998</v>
      </c>
      <c r="F129" s="3">
        <f t="shared" si="12"/>
        <v>16883</v>
      </c>
      <c r="G129" s="10">
        <f t="shared" si="7"/>
        <v>6.8115856186696678E-3</v>
      </c>
      <c r="H129" s="8">
        <f t="shared" si="5"/>
        <v>32742</v>
      </c>
      <c r="I129" s="5">
        <f t="shared" si="13"/>
        <v>33226</v>
      </c>
      <c r="J129" s="9">
        <f t="shared" si="8"/>
        <v>1.4566905435502318E-2</v>
      </c>
      <c r="K129" s="12">
        <f t="shared" si="9"/>
        <v>0.48085028403884916</v>
      </c>
      <c r="L129" s="12">
        <f t="shared" si="10"/>
        <v>0.51914971596115078</v>
      </c>
    </row>
    <row r="130" spans="1:12" ht="13.2" x14ac:dyDescent="0.25">
      <c r="A130" s="6">
        <v>42309</v>
      </c>
      <c r="B130" s="8">
        <v>12443</v>
      </c>
      <c r="C130" s="3">
        <f t="shared" si="11"/>
        <v>15710</v>
      </c>
      <c r="D130" s="9">
        <f t="shared" si="6"/>
        <v>0.20795671546785488</v>
      </c>
      <c r="E130" s="8">
        <v>11270</v>
      </c>
      <c r="F130" s="3">
        <f t="shared" si="12"/>
        <v>14788</v>
      </c>
      <c r="G130" s="10">
        <f t="shared" si="7"/>
        <v>0.23789559101974575</v>
      </c>
      <c r="H130" s="8">
        <f t="shared" si="5"/>
        <v>23713</v>
      </c>
      <c r="I130" s="5">
        <f t="shared" si="13"/>
        <v>30498</v>
      </c>
      <c r="J130" s="9">
        <f t="shared" si="8"/>
        <v>0.22247360482654599</v>
      </c>
      <c r="K130" s="12">
        <f t="shared" si="9"/>
        <v>0.52473326867119297</v>
      </c>
      <c r="L130" s="12">
        <f t="shared" si="10"/>
        <v>0.47526673132880698</v>
      </c>
    </row>
    <row r="131" spans="1:12" ht="13.2" x14ac:dyDescent="0.25">
      <c r="A131" s="6">
        <v>42278</v>
      </c>
      <c r="B131" s="8">
        <v>16722</v>
      </c>
      <c r="C131" s="3">
        <f t="shared" si="11"/>
        <v>17097</v>
      </c>
      <c r="D131" s="9">
        <f t="shared" si="6"/>
        <v>2.1933672574135813E-2</v>
      </c>
      <c r="E131" s="8">
        <v>16275</v>
      </c>
      <c r="F131" s="3">
        <f t="shared" si="12"/>
        <v>16676</v>
      </c>
      <c r="G131" s="10">
        <f t="shared" si="7"/>
        <v>2.4046533940993042E-2</v>
      </c>
      <c r="H131" s="8">
        <f t="shared" si="5"/>
        <v>32997</v>
      </c>
      <c r="I131" s="5">
        <f t="shared" si="13"/>
        <v>33773</v>
      </c>
      <c r="J131" s="9">
        <f t="shared" si="8"/>
        <v>2.297693423740858E-2</v>
      </c>
      <c r="K131" s="12">
        <f t="shared" si="9"/>
        <v>0.5067733430311846</v>
      </c>
      <c r="L131" s="12">
        <f t="shared" si="10"/>
        <v>0.49322665696881535</v>
      </c>
    </row>
    <row r="132" spans="1:12" ht="13.2" x14ac:dyDescent="0.25">
      <c r="A132" s="6">
        <v>42248</v>
      </c>
      <c r="B132" s="8">
        <v>20157</v>
      </c>
      <c r="C132" s="3">
        <f t="shared" si="11"/>
        <v>18601</v>
      </c>
      <c r="D132" s="9">
        <f t="shared" si="6"/>
        <v>8.3651416590505887E-2</v>
      </c>
      <c r="E132" s="8">
        <v>20898</v>
      </c>
      <c r="F132" s="3">
        <f t="shared" si="12"/>
        <v>19304</v>
      </c>
      <c r="G132" s="10">
        <f t="shared" si="7"/>
        <v>8.2573559883961867E-2</v>
      </c>
      <c r="H132" s="8">
        <f t="shared" si="5"/>
        <v>41055</v>
      </c>
      <c r="I132" s="5">
        <f t="shared" si="13"/>
        <v>37905</v>
      </c>
      <c r="J132" s="9">
        <f t="shared" si="8"/>
        <v>8.3102493074792241E-2</v>
      </c>
      <c r="K132" s="12">
        <f t="shared" si="9"/>
        <v>0.49097552064303984</v>
      </c>
      <c r="L132" s="12">
        <f t="shared" si="10"/>
        <v>0.50902447935696016</v>
      </c>
    </row>
    <row r="133" spans="1:12" ht="13.2" x14ac:dyDescent="0.25">
      <c r="A133" s="6">
        <v>42217</v>
      </c>
      <c r="B133" s="8">
        <v>24750</v>
      </c>
      <c r="C133" s="3">
        <f t="shared" si="11"/>
        <v>22681</v>
      </c>
      <c r="D133" s="9">
        <f t="shared" si="6"/>
        <v>9.1221727437061861E-2</v>
      </c>
      <c r="E133" s="8">
        <v>24556</v>
      </c>
      <c r="F133" s="3">
        <f t="shared" si="12"/>
        <v>22878</v>
      </c>
      <c r="G133" s="10">
        <f t="shared" si="7"/>
        <v>7.3345572165399067E-2</v>
      </c>
      <c r="H133" s="8">
        <f t="shared" ref="H133:H196" si="14">B133+E133</f>
        <v>49306</v>
      </c>
      <c r="I133" s="5">
        <f t="shared" si="13"/>
        <v>45559</v>
      </c>
      <c r="J133" s="9">
        <f t="shared" si="8"/>
        <v>8.2245000987730202E-2</v>
      </c>
      <c r="K133" s="12">
        <f t="shared" si="9"/>
        <v>0.50196730621019758</v>
      </c>
      <c r="L133" s="12">
        <f t="shared" si="10"/>
        <v>0.49803269378980247</v>
      </c>
    </row>
    <row r="134" spans="1:12" ht="13.2" x14ac:dyDescent="0.25">
      <c r="A134" s="6">
        <v>42186</v>
      </c>
      <c r="B134" s="8">
        <v>23981</v>
      </c>
      <c r="C134" s="3">
        <f t="shared" si="11"/>
        <v>24328</v>
      </c>
      <c r="D134" s="9">
        <f t="shared" ref="D134:D197" si="15">ABS(B134-C134)/C134</f>
        <v>1.4263400197303518E-2</v>
      </c>
      <c r="E134" s="8">
        <v>23431</v>
      </c>
      <c r="F134" s="3">
        <f t="shared" si="12"/>
        <v>24162</v>
      </c>
      <c r="G134" s="10">
        <f t="shared" ref="G134:G197" si="16">ABS(E134-F134)/F134</f>
        <v>3.0254118036586376E-2</v>
      </c>
      <c r="H134" s="8">
        <f t="shared" si="14"/>
        <v>47412</v>
      </c>
      <c r="I134" s="5">
        <f t="shared" si="13"/>
        <v>48490</v>
      </c>
      <c r="J134" s="9">
        <f t="shared" ref="J134:J197" si="17">ABS(H134-I134)/I134</f>
        <v>2.2231387915034026E-2</v>
      </c>
      <c r="K134" s="12">
        <f t="shared" ref="K134:K197" si="18">B134/H134</f>
        <v>0.50580021935375008</v>
      </c>
      <c r="L134" s="12">
        <f t="shared" ref="L134:L197" si="19">E134/H134</f>
        <v>0.49419978064624992</v>
      </c>
    </row>
    <row r="135" spans="1:12" ht="13.2" x14ac:dyDescent="0.25">
      <c r="A135" s="6">
        <v>42156</v>
      </c>
      <c r="B135" s="8">
        <v>18492</v>
      </c>
      <c r="C135" s="3">
        <f t="shared" si="11"/>
        <v>17243</v>
      </c>
      <c r="D135" s="9">
        <f t="shared" si="15"/>
        <v>7.2435191092037346E-2</v>
      </c>
      <c r="E135" s="8">
        <v>17110</v>
      </c>
      <c r="F135" s="3">
        <f t="shared" si="12"/>
        <v>15369</v>
      </c>
      <c r="G135" s="10">
        <f t="shared" si="16"/>
        <v>0.11327997917886655</v>
      </c>
      <c r="H135" s="8">
        <f t="shared" si="14"/>
        <v>35602</v>
      </c>
      <c r="I135" s="5">
        <f t="shared" si="13"/>
        <v>32612</v>
      </c>
      <c r="J135" s="9">
        <f t="shared" si="17"/>
        <v>9.1684042683674721E-2</v>
      </c>
      <c r="K135" s="12">
        <f t="shared" si="18"/>
        <v>0.51940902196505812</v>
      </c>
      <c r="L135" s="12">
        <f t="shared" si="19"/>
        <v>0.48059097803494188</v>
      </c>
    </row>
    <row r="136" spans="1:12" ht="13.2" x14ac:dyDescent="0.25">
      <c r="A136" s="6">
        <v>42125</v>
      </c>
      <c r="B136" s="8">
        <v>15096</v>
      </c>
      <c r="C136" s="3">
        <f t="shared" si="11"/>
        <v>14956</v>
      </c>
      <c r="D136" s="9">
        <f t="shared" si="15"/>
        <v>9.3607916555228671E-3</v>
      </c>
      <c r="E136" s="8">
        <v>15136</v>
      </c>
      <c r="F136" s="3">
        <f t="shared" si="12"/>
        <v>15198</v>
      </c>
      <c r="G136" s="10">
        <f t="shared" si="16"/>
        <v>4.0794841426503485E-3</v>
      </c>
      <c r="H136" s="8">
        <f t="shared" si="14"/>
        <v>30232</v>
      </c>
      <c r="I136" s="5">
        <f t="shared" si="13"/>
        <v>30154</v>
      </c>
      <c r="J136" s="9">
        <f t="shared" si="17"/>
        <v>2.5867214963188963E-3</v>
      </c>
      <c r="K136" s="12">
        <f t="shared" si="18"/>
        <v>0.49933844932521831</v>
      </c>
      <c r="L136" s="12">
        <f t="shared" si="19"/>
        <v>0.50066155067478169</v>
      </c>
    </row>
    <row r="137" spans="1:12" ht="13.2" x14ac:dyDescent="0.25">
      <c r="A137" s="6">
        <v>42095</v>
      </c>
      <c r="B137" s="8">
        <v>19560</v>
      </c>
      <c r="C137" s="3">
        <f t="shared" si="11"/>
        <v>17963</v>
      </c>
      <c r="D137" s="9">
        <f t="shared" si="15"/>
        <v>8.890497132995602E-2</v>
      </c>
      <c r="E137" s="8">
        <v>19420</v>
      </c>
      <c r="F137" s="3">
        <f t="shared" si="12"/>
        <v>18091</v>
      </c>
      <c r="G137" s="10">
        <f t="shared" si="16"/>
        <v>7.3461942402299488E-2</v>
      </c>
      <c r="H137" s="8">
        <f t="shared" si="14"/>
        <v>38980</v>
      </c>
      <c r="I137" s="5">
        <f t="shared" si="13"/>
        <v>36054</v>
      </c>
      <c r="J137" s="9">
        <f t="shared" si="17"/>
        <v>8.1156043712209469E-2</v>
      </c>
      <c r="K137" s="12">
        <f t="shared" si="18"/>
        <v>0.50179579271421237</v>
      </c>
      <c r="L137" s="12">
        <f t="shared" si="19"/>
        <v>0.49820420728578757</v>
      </c>
    </row>
    <row r="138" spans="1:12" ht="13.2" x14ac:dyDescent="0.25">
      <c r="A138" s="6">
        <v>42064</v>
      </c>
      <c r="B138" s="8">
        <v>18378</v>
      </c>
      <c r="C138" s="3">
        <f t="shared" si="11"/>
        <v>17690</v>
      </c>
      <c r="D138" s="9">
        <f t="shared" si="15"/>
        <v>3.8892029395138493E-2</v>
      </c>
      <c r="E138" s="8">
        <v>17419</v>
      </c>
      <c r="F138" s="3">
        <f t="shared" si="12"/>
        <v>17426</v>
      </c>
      <c r="G138" s="10">
        <f t="shared" si="16"/>
        <v>4.016986112705153E-4</v>
      </c>
      <c r="H138" s="8">
        <f t="shared" si="14"/>
        <v>35797</v>
      </c>
      <c r="I138" s="5">
        <f t="shared" si="13"/>
        <v>35116</v>
      </c>
      <c r="J138" s="9">
        <f t="shared" si="17"/>
        <v>1.9392869347306073E-2</v>
      </c>
      <c r="K138" s="12">
        <f t="shared" si="18"/>
        <v>0.51339497723272898</v>
      </c>
      <c r="L138" s="12">
        <f t="shared" si="19"/>
        <v>0.48660502276727102</v>
      </c>
    </row>
    <row r="139" spans="1:12" ht="13.2" x14ac:dyDescent="0.25">
      <c r="A139" s="6">
        <v>42036</v>
      </c>
      <c r="B139" s="8">
        <v>14950</v>
      </c>
      <c r="C139" s="3">
        <f t="shared" si="11"/>
        <v>14123</v>
      </c>
      <c r="D139" s="9">
        <f t="shared" si="15"/>
        <v>5.8556963817885721E-2</v>
      </c>
      <c r="E139" s="8">
        <v>14806</v>
      </c>
      <c r="F139" s="3">
        <f t="shared" si="12"/>
        <v>13831</v>
      </c>
      <c r="G139" s="10">
        <f t="shared" si="16"/>
        <v>7.0493818234400984E-2</v>
      </c>
      <c r="H139" s="8">
        <f t="shared" si="14"/>
        <v>29756</v>
      </c>
      <c r="I139" s="5">
        <f t="shared" si="13"/>
        <v>27954</v>
      </c>
      <c r="J139" s="9">
        <f t="shared" si="17"/>
        <v>6.4463046433426346E-2</v>
      </c>
      <c r="K139" s="12">
        <f t="shared" si="18"/>
        <v>0.50241968006452475</v>
      </c>
      <c r="L139" s="12">
        <f t="shared" si="19"/>
        <v>0.49758031993547519</v>
      </c>
    </row>
    <row r="140" spans="1:12" ht="13.2" x14ac:dyDescent="0.25">
      <c r="A140" s="6">
        <v>42005</v>
      </c>
      <c r="B140" s="8">
        <v>14159</v>
      </c>
      <c r="C140" s="3">
        <f t="shared" si="11"/>
        <v>13776</v>
      </c>
      <c r="D140" s="9">
        <f t="shared" si="15"/>
        <v>2.7801974448315912E-2</v>
      </c>
      <c r="E140" s="8">
        <v>12281</v>
      </c>
      <c r="F140" s="3">
        <f t="shared" si="12"/>
        <v>11742</v>
      </c>
      <c r="G140" s="10">
        <f t="shared" si="16"/>
        <v>4.5903593936297053E-2</v>
      </c>
      <c r="H140" s="8">
        <f t="shared" si="14"/>
        <v>26440</v>
      </c>
      <c r="I140" s="5">
        <f t="shared" si="13"/>
        <v>25518</v>
      </c>
      <c r="J140" s="9">
        <f t="shared" si="17"/>
        <v>3.6131358256916685E-2</v>
      </c>
      <c r="K140" s="12">
        <f t="shared" si="18"/>
        <v>0.53551437216338882</v>
      </c>
      <c r="L140" s="12">
        <f t="shared" si="19"/>
        <v>0.46448562783661118</v>
      </c>
    </row>
    <row r="141" spans="1:12" ht="13.2" x14ac:dyDescent="0.25">
      <c r="A141" s="6">
        <v>41974</v>
      </c>
      <c r="B141" s="8">
        <v>16343</v>
      </c>
      <c r="C141" s="3">
        <f t="shared" si="11"/>
        <v>15122</v>
      </c>
      <c r="D141" s="9">
        <f t="shared" si="15"/>
        <v>8.0743287924877657E-2</v>
      </c>
      <c r="E141" s="8">
        <v>16883</v>
      </c>
      <c r="F141" s="3">
        <f t="shared" si="12"/>
        <v>16781</v>
      </c>
      <c r="G141" s="10">
        <f t="shared" si="16"/>
        <v>6.0783028425004468E-3</v>
      </c>
      <c r="H141" s="8">
        <f t="shared" si="14"/>
        <v>33226</v>
      </c>
      <c r="I141" s="5">
        <f t="shared" si="13"/>
        <v>31903</v>
      </c>
      <c r="J141" s="9">
        <f t="shared" si="17"/>
        <v>4.1469454283296243E-2</v>
      </c>
      <c r="K141" s="12">
        <f t="shared" si="18"/>
        <v>0.49187383374465782</v>
      </c>
      <c r="L141" s="12">
        <f t="shared" si="19"/>
        <v>0.50812616625534224</v>
      </c>
    </row>
    <row r="142" spans="1:12" ht="13.2" x14ac:dyDescent="0.25">
      <c r="A142" s="6">
        <v>41944</v>
      </c>
      <c r="B142" s="8">
        <v>15710</v>
      </c>
      <c r="C142" s="3">
        <f t="shared" si="11"/>
        <v>16391</v>
      </c>
      <c r="D142" s="9">
        <f t="shared" si="15"/>
        <v>4.154719053138918E-2</v>
      </c>
      <c r="E142" s="8">
        <v>14788</v>
      </c>
      <c r="F142" s="3">
        <f t="shared" si="12"/>
        <v>15345</v>
      </c>
      <c r="G142" s="10">
        <f t="shared" si="16"/>
        <v>3.629846855653307E-2</v>
      </c>
      <c r="H142" s="8">
        <f t="shared" si="14"/>
        <v>30498</v>
      </c>
      <c r="I142" s="5">
        <f t="shared" si="13"/>
        <v>31736</v>
      </c>
      <c r="J142" s="9">
        <f t="shared" si="17"/>
        <v>3.9009326947315355E-2</v>
      </c>
      <c r="K142" s="12">
        <f t="shared" si="18"/>
        <v>0.51511574529477344</v>
      </c>
      <c r="L142" s="12">
        <f t="shared" si="19"/>
        <v>0.48488425470522656</v>
      </c>
    </row>
    <row r="143" spans="1:12" ht="13.2" x14ac:dyDescent="0.25">
      <c r="A143" s="6">
        <v>41913</v>
      </c>
      <c r="B143" s="8">
        <v>17097</v>
      </c>
      <c r="C143" s="3">
        <f t="shared" si="11"/>
        <v>15966</v>
      </c>
      <c r="D143" s="9">
        <f t="shared" si="15"/>
        <v>7.08380308154829E-2</v>
      </c>
      <c r="E143" s="8">
        <v>16676</v>
      </c>
      <c r="F143" s="3">
        <f t="shared" si="12"/>
        <v>16136</v>
      </c>
      <c r="G143" s="10">
        <f t="shared" si="16"/>
        <v>3.3465542885473473E-2</v>
      </c>
      <c r="H143" s="8">
        <f t="shared" si="14"/>
        <v>33773</v>
      </c>
      <c r="I143" s="5">
        <f t="shared" si="13"/>
        <v>32102</v>
      </c>
      <c r="J143" s="9">
        <f t="shared" si="17"/>
        <v>5.2052831599277302E-2</v>
      </c>
      <c r="K143" s="12">
        <f t="shared" si="18"/>
        <v>0.50623278950641049</v>
      </c>
      <c r="L143" s="12">
        <f t="shared" si="19"/>
        <v>0.49376721049358957</v>
      </c>
    </row>
    <row r="144" spans="1:12" ht="13.2" x14ac:dyDescent="0.25">
      <c r="A144" s="6">
        <v>41883</v>
      </c>
      <c r="B144" s="8">
        <v>18601</v>
      </c>
      <c r="C144" s="3">
        <f t="shared" si="11"/>
        <v>18650</v>
      </c>
      <c r="D144" s="9">
        <f t="shared" si="15"/>
        <v>2.6273458445040215E-3</v>
      </c>
      <c r="E144" s="8">
        <v>19304</v>
      </c>
      <c r="F144" s="3">
        <f t="shared" si="12"/>
        <v>19636</v>
      </c>
      <c r="G144" s="10">
        <f t="shared" si="16"/>
        <v>1.6907720513342838E-2</v>
      </c>
      <c r="H144" s="8">
        <f t="shared" si="14"/>
        <v>37905</v>
      </c>
      <c r="I144" s="5">
        <f t="shared" si="13"/>
        <v>38286</v>
      </c>
      <c r="J144" s="9">
        <f t="shared" si="17"/>
        <v>9.9514182729979628E-3</v>
      </c>
      <c r="K144" s="12">
        <f t="shared" si="18"/>
        <v>0.49072681704260651</v>
      </c>
      <c r="L144" s="12">
        <f t="shared" si="19"/>
        <v>0.50927318295739343</v>
      </c>
    </row>
    <row r="145" spans="1:12" ht="13.2" x14ac:dyDescent="0.25">
      <c r="A145" s="6">
        <v>41852</v>
      </c>
      <c r="B145" s="8">
        <v>22681</v>
      </c>
      <c r="C145" s="3">
        <f t="shared" si="11"/>
        <v>25391</v>
      </c>
      <c r="D145" s="9">
        <f t="shared" si="15"/>
        <v>0.10673073136150604</v>
      </c>
      <c r="E145" s="8">
        <v>22878</v>
      </c>
      <c r="F145" s="3">
        <f t="shared" si="12"/>
        <v>24999</v>
      </c>
      <c r="G145" s="10">
        <f t="shared" si="16"/>
        <v>8.4843393735749437E-2</v>
      </c>
      <c r="H145" s="8">
        <f t="shared" si="14"/>
        <v>45559</v>
      </c>
      <c r="I145" s="5">
        <f t="shared" si="13"/>
        <v>50390</v>
      </c>
      <c r="J145" s="9">
        <f t="shared" si="17"/>
        <v>9.5872196864457235E-2</v>
      </c>
      <c r="K145" s="12">
        <f t="shared" si="18"/>
        <v>0.49783796834873462</v>
      </c>
      <c r="L145" s="12">
        <f t="shared" si="19"/>
        <v>0.50216203165126538</v>
      </c>
    </row>
    <row r="146" spans="1:12" ht="13.2" x14ac:dyDescent="0.25">
      <c r="A146" s="6">
        <v>41821</v>
      </c>
      <c r="B146" s="8">
        <v>24328</v>
      </c>
      <c r="C146" s="3">
        <f t="shared" si="11"/>
        <v>23683</v>
      </c>
      <c r="D146" s="9">
        <f t="shared" si="15"/>
        <v>2.7234725330405777E-2</v>
      </c>
      <c r="E146" s="8">
        <v>24162</v>
      </c>
      <c r="F146" s="3">
        <f t="shared" si="12"/>
        <v>23468</v>
      </c>
      <c r="G146" s="10">
        <f t="shared" si="16"/>
        <v>2.9572183398670529E-2</v>
      </c>
      <c r="H146" s="8">
        <f t="shared" si="14"/>
        <v>48490</v>
      </c>
      <c r="I146" s="5">
        <f t="shared" si="13"/>
        <v>47151</v>
      </c>
      <c r="J146" s="9">
        <f t="shared" si="17"/>
        <v>2.8398125172318722E-2</v>
      </c>
      <c r="K146" s="12">
        <f t="shared" si="18"/>
        <v>0.50171169313260466</v>
      </c>
      <c r="L146" s="12">
        <f t="shared" si="19"/>
        <v>0.49828830686739534</v>
      </c>
    </row>
    <row r="147" spans="1:12" ht="13.2" x14ac:dyDescent="0.25">
      <c r="A147" s="6">
        <v>41791</v>
      </c>
      <c r="B147" s="8">
        <v>17243</v>
      </c>
      <c r="C147" s="3">
        <f t="shared" si="11"/>
        <v>19016</v>
      </c>
      <c r="D147" s="9">
        <f t="shared" si="15"/>
        <v>9.323727387463189E-2</v>
      </c>
      <c r="E147" s="8">
        <v>15369</v>
      </c>
      <c r="F147" s="3">
        <f t="shared" si="12"/>
        <v>17963</v>
      </c>
      <c r="G147" s="10">
        <f t="shared" si="16"/>
        <v>0.14440794967433057</v>
      </c>
      <c r="H147" s="8">
        <f t="shared" si="14"/>
        <v>32612</v>
      </c>
      <c r="I147" s="5">
        <f t="shared" si="13"/>
        <v>36979</v>
      </c>
      <c r="J147" s="9">
        <f t="shared" si="17"/>
        <v>0.11809405338164905</v>
      </c>
      <c r="K147" s="12">
        <f t="shared" si="18"/>
        <v>0.52873175518214155</v>
      </c>
      <c r="L147" s="12">
        <f t="shared" si="19"/>
        <v>0.47126824481785845</v>
      </c>
    </row>
    <row r="148" spans="1:12" ht="13.2" x14ac:dyDescent="0.25">
      <c r="A148" s="6">
        <v>41760</v>
      </c>
      <c r="B148" s="8">
        <v>14956</v>
      </c>
      <c r="C148" s="3">
        <f t="shared" si="11"/>
        <v>16641</v>
      </c>
      <c r="D148" s="9">
        <f t="shared" si="15"/>
        <v>0.10125593413857341</v>
      </c>
      <c r="E148" s="8">
        <v>15198</v>
      </c>
      <c r="F148" s="3">
        <f t="shared" si="12"/>
        <v>17484</v>
      </c>
      <c r="G148" s="10">
        <f t="shared" si="16"/>
        <v>0.13074811256005492</v>
      </c>
      <c r="H148" s="8">
        <f t="shared" si="14"/>
        <v>30154</v>
      </c>
      <c r="I148" s="5">
        <f t="shared" si="13"/>
        <v>34125</v>
      </c>
      <c r="J148" s="9">
        <f t="shared" si="17"/>
        <v>0.11636630036630037</v>
      </c>
      <c r="K148" s="12">
        <f t="shared" si="18"/>
        <v>0.49598726537109505</v>
      </c>
      <c r="L148" s="12">
        <f t="shared" si="19"/>
        <v>0.50401273462890495</v>
      </c>
    </row>
    <row r="149" spans="1:12" ht="13.2" x14ac:dyDescent="0.25">
      <c r="A149" s="6">
        <v>41730</v>
      </c>
      <c r="B149" s="8">
        <v>17963</v>
      </c>
      <c r="C149" s="3">
        <f t="shared" si="11"/>
        <v>20189</v>
      </c>
      <c r="D149" s="9">
        <f t="shared" si="15"/>
        <v>0.11025806132052107</v>
      </c>
      <c r="E149" s="8">
        <v>18091</v>
      </c>
      <c r="F149" s="3">
        <f t="shared" si="12"/>
        <v>20997</v>
      </c>
      <c r="G149" s="10">
        <f t="shared" si="16"/>
        <v>0.13840072391293995</v>
      </c>
      <c r="H149" s="8">
        <f t="shared" si="14"/>
        <v>36054</v>
      </c>
      <c r="I149" s="5">
        <f t="shared" si="13"/>
        <v>41186</v>
      </c>
      <c r="J149" s="9">
        <f t="shared" si="17"/>
        <v>0.12460544845335794</v>
      </c>
      <c r="K149" s="12">
        <f t="shared" si="18"/>
        <v>0.49822488489487993</v>
      </c>
      <c r="L149" s="12">
        <f t="shared" si="19"/>
        <v>0.50177511510512007</v>
      </c>
    </row>
    <row r="150" spans="1:12" ht="13.2" x14ac:dyDescent="0.25">
      <c r="A150" s="6">
        <v>41699</v>
      </c>
      <c r="B150" s="8">
        <v>17690</v>
      </c>
      <c r="C150" s="3">
        <f t="shared" si="11"/>
        <v>22721</v>
      </c>
      <c r="D150" s="9">
        <f t="shared" si="15"/>
        <v>0.22142511333127943</v>
      </c>
      <c r="E150" s="8">
        <v>17426</v>
      </c>
      <c r="F150" s="3">
        <f t="shared" si="12"/>
        <v>21968</v>
      </c>
      <c r="G150" s="10">
        <f t="shared" si="16"/>
        <v>0.20675528040786598</v>
      </c>
      <c r="H150" s="8">
        <f t="shared" si="14"/>
        <v>35116</v>
      </c>
      <c r="I150" s="5">
        <f t="shared" si="13"/>
        <v>44689</v>
      </c>
      <c r="J150" s="9">
        <f t="shared" si="17"/>
        <v>0.21421378862807403</v>
      </c>
      <c r="K150" s="12">
        <f t="shared" si="18"/>
        <v>0.50375897026996241</v>
      </c>
      <c r="L150" s="12">
        <f t="shared" si="19"/>
        <v>0.49624102973003759</v>
      </c>
    </row>
    <row r="151" spans="1:12" ht="13.2" x14ac:dyDescent="0.25">
      <c r="A151" s="6">
        <v>41671</v>
      </c>
      <c r="B151" s="8">
        <v>14123</v>
      </c>
      <c r="C151" s="3">
        <f t="shared" si="11"/>
        <v>17171</v>
      </c>
      <c r="D151" s="9">
        <f t="shared" si="15"/>
        <v>0.17750859006464387</v>
      </c>
      <c r="E151" s="8">
        <v>13831</v>
      </c>
      <c r="F151" s="3">
        <f t="shared" si="12"/>
        <v>17076</v>
      </c>
      <c r="G151" s="10">
        <f t="shared" si="16"/>
        <v>0.19003279456547201</v>
      </c>
      <c r="H151" s="8">
        <f t="shared" si="14"/>
        <v>27954</v>
      </c>
      <c r="I151" s="5">
        <f t="shared" si="13"/>
        <v>34247</v>
      </c>
      <c r="J151" s="9">
        <f t="shared" si="17"/>
        <v>0.1837533214588139</v>
      </c>
      <c r="K151" s="12">
        <f t="shared" si="18"/>
        <v>0.50522286613722545</v>
      </c>
      <c r="L151" s="12">
        <f t="shared" si="19"/>
        <v>0.49477713386277455</v>
      </c>
    </row>
    <row r="152" spans="1:12" ht="13.2" x14ac:dyDescent="0.25">
      <c r="A152" s="6">
        <v>41640</v>
      </c>
      <c r="B152" s="8">
        <v>13776</v>
      </c>
      <c r="C152" s="3">
        <f t="shared" si="11"/>
        <v>18683</v>
      </c>
      <c r="D152" s="9">
        <f t="shared" si="15"/>
        <v>0.26264518546272014</v>
      </c>
      <c r="E152" s="8">
        <v>11742</v>
      </c>
      <c r="F152" s="3">
        <f t="shared" si="12"/>
        <v>16669</v>
      </c>
      <c r="G152" s="10">
        <f t="shared" si="16"/>
        <v>0.29557861899334092</v>
      </c>
      <c r="H152" s="8">
        <f t="shared" si="14"/>
        <v>25518</v>
      </c>
      <c r="I152" s="5">
        <f t="shared" si="13"/>
        <v>35352</v>
      </c>
      <c r="J152" s="9">
        <f t="shared" si="17"/>
        <v>0.27817379497623895</v>
      </c>
      <c r="K152" s="12">
        <f t="shared" si="18"/>
        <v>0.53985422055019983</v>
      </c>
      <c r="L152" s="12">
        <f t="shared" si="19"/>
        <v>0.46014577944980012</v>
      </c>
    </row>
    <row r="153" spans="1:12" ht="13.2" x14ac:dyDescent="0.25">
      <c r="A153" s="6">
        <v>41609</v>
      </c>
      <c r="B153" s="8">
        <v>15122</v>
      </c>
      <c r="C153" s="3">
        <f t="shared" si="11"/>
        <v>18201</v>
      </c>
      <c r="D153" s="9">
        <f t="shared" si="15"/>
        <v>0.16916652931157627</v>
      </c>
      <c r="E153" s="8">
        <v>16781</v>
      </c>
      <c r="F153" s="3">
        <f t="shared" si="12"/>
        <v>19995</v>
      </c>
      <c r="G153" s="10">
        <f t="shared" si="16"/>
        <v>0.16074018504626156</v>
      </c>
      <c r="H153" s="8">
        <f t="shared" si="14"/>
        <v>31903</v>
      </c>
      <c r="I153" s="5">
        <f t="shared" si="13"/>
        <v>38196</v>
      </c>
      <c r="J153" s="9">
        <f t="shared" si="17"/>
        <v>0.16475547177714944</v>
      </c>
      <c r="K153" s="12">
        <f t="shared" si="18"/>
        <v>0.47399931040967935</v>
      </c>
      <c r="L153" s="12">
        <f t="shared" si="19"/>
        <v>0.52600068959032065</v>
      </c>
    </row>
    <row r="154" spans="1:12" ht="13.2" x14ac:dyDescent="0.25">
      <c r="A154" s="6">
        <v>41579</v>
      </c>
      <c r="B154" s="8">
        <v>16391</v>
      </c>
      <c r="C154" s="3">
        <f t="shared" si="11"/>
        <v>19366</v>
      </c>
      <c r="D154" s="9">
        <f t="shared" si="15"/>
        <v>0.15361974594650418</v>
      </c>
      <c r="E154" s="8">
        <v>15345</v>
      </c>
      <c r="F154" s="3">
        <f t="shared" si="12"/>
        <v>18241</v>
      </c>
      <c r="G154" s="10">
        <f t="shared" si="16"/>
        <v>0.15876322570034537</v>
      </c>
      <c r="H154" s="8">
        <f t="shared" si="14"/>
        <v>31736</v>
      </c>
      <c r="I154" s="5">
        <f t="shared" si="13"/>
        <v>37607</v>
      </c>
      <c r="J154" s="9">
        <f t="shared" si="17"/>
        <v>0.15611455314170233</v>
      </c>
      <c r="K154" s="12">
        <f t="shared" si="18"/>
        <v>0.51647970758759765</v>
      </c>
      <c r="L154" s="12">
        <f t="shared" si="19"/>
        <v>0.4835202924124023</v>
      </c>
    </row>
    <row r="155" spans="1:12" ht="13.2" x14ac:dyDescent="0.25">
      <c r="A155" s="6">
        <v>41548</v>
      </c>
      <c r="B155" s="8">
        <v>15966</v>
      </c>
      <c r="C155" s="3">
        <f t="shared" si="11"/>
        <v>24878</v>
      </c>
      <c r="D155" s="9">
        <f t="shared" si="15"/>
        <v>0.35822815338853603</v>
      </c>
      <c r="E155" s="8">
        <v>16136</v>
      </c>
      <c r="F155" s="3">
        <f t="shared" si="12"/>
        <v>26014</v>
      </c>
      <c r="G155" s="10">
        <f t="shared" si="16"/>
        <v>0.3797186130545091</v>
      </c>
      <c r="H155" s="8">
        <f t="shared" si="14"/>
        <v>32102</v>
      </c>
      <c r="I155" s="5">
        <f t="shared" si="13"/>
        <v>50892</v>
      </c>
      <c r="J155" s="9">
        <f t="shared" si="17"/>
        <v>0.36921323587204274</v>
      </c>
      <c r="K155" s="12">
        <f t="shared" si="18"/>
        <v>0.49735218989471058</v>
      </c>
      <c r="L155" s="12">
        <f t="shared" si="19"/>
        <v>0.50264781010528936</v>
      </c>
    </row>
    <row r="156" spans="1:12" ht="13.2" x14ac:dyDescent="0.25">
      <c r="A156" s="6">
        <v>41518</v>
      </c>
      <c r="B156" s="8">
        <v>18650</v>
      </c>
      <c r="C156" s="3">
        <f t="shared" si="11"/>
        <v>21643</v>
      </c>
      <c r="D156" s="9">
        <f t="shared" si="15"/>
        <v>0.1382895162408169</v>
      </c>
      <c r="E156" s="8">
        <v>19636</v>
      </c>
      <c r="F156" s="3">
        <f t="shared" si="12"/>
        <v>23124</v>
      </c>
      <c r="G156" s="10">
        <f t="shared" si="16"/>
        <v>0.15083895519806262</v>
      </c>
      <c r="H156" s="8">
        <f t="shared" si="14"/>
        <v>38286</v>
      </c>
      <c r="I156" s="5">
        <f t="shared" si="13"/>
        <v>44767</v>
      </c>
      <c r="J156" s="9">
        <f t="shared" si="17"/>
        <v>0.14477181852704002</v>
      </c>
      <c r="K156" s="12">
        <f t="shared" si="18"/>
        <v>0.48712323042365357</v>
      </c>
      <c r="L156" s="12">
        <f t="shared" si="19"/>
        <v>0.51287676957634643</v>
      </c>
    </row>
    <row r="157" spans="1:12" ht="13.2" x14ac:dyDescent="0.25">
      <c r="A157" s="6">
        <v>41487</v>
      </c>
      <c r="B157" s="8">
        <v>25391</v>
      </c>
      <c r="C157" s="3">
        <f t="shared" si="11"/>
        <v>28701</v>
      </c>
      <c r="D157" s="9">
        <f t="shared" si="15"/>
        <v>0.11532699209086791</v>
      </c>
      <c r="E157" s="8">
        <v>24999</v>
      </c>
      <c r="F157" s="3">
        <f t="shared" si="12"/>
        <v>29193</v>
      </c>
      <c r="G157" s="10">
        <f t="shared" si="16"/>
        <v>0.14366457712465316</v>
      </c>
      <c r="H157" s="8">
        <f t="shared" si="14"/>
        <v>50390</v>
      </c>
      <c r="I157" s="5">
        <f t="shared" si="13"/>
        <v>57894</v>
      </c>
      <c r="J157" s="9">
        <f t="shared" si="17"/>
        <v>0.12961619511521055</v>
      </c>
      <c r="K157" s="12">
        <f t="shared" si="18"/>
        <v>0.50388966064695373</v>
      </c>
      <c r="L157" s="12">
        <f t="shared" si="19"/>
        <v>0.49611033935304621</v>
      </c>
    </row>
    <row r="158" spans="1:12" ht="13.2" x14ac:dyDescent="0.25">
      <c r="A158" s="6">
        <v>41456</v>
      </c>
      <c r="B158" s="8">
        <v>23683</v>
      </c>
      <c r="C158" s="3">
        <f t="shared" si="11"/>
        <v>27845</v>
      </c>
      <c r="D158" s="9">
        <f t="shared" si="15"/>
        <v>0.14947028191775902</v>
      </c>
      <c r="E158" s="8">
        <v>23468</v>
      </c>
      <c r="F158" s="3">
        <f t="shared" si="12"/>
        <v>27251</v>
      </c>
      <c r="G158" s="10">
        <f t="shared" si="16"/>
        <v>0.13882059373967928</v>
      </c>
      <c r="H158" s="8">
        <f t="shared" si="14"/>
        <v>47151</v>
      </c>
      <c r="I158" s="5">
        <f t="shared" si="13"/>
        <v>55096</v>
      </c>
      <c r="J158" s="9">
        <f t="shared" si="17"/>
        <v>0.14420284594162916</v>
      </c>
      <c r="K158" s="12">
        <f t="shared" si="18"/>
        <v>0.50227990922780008</v>
      </c>
      <c r="L158" s="12">
        <f t="shared" si="19"/>
        <v>0.49772009077219997</v>
      </c>
    </row>
    <row r="159" spans="1:12" ht="13.2" x14ac:dyDescent="0.25">
      <c r="A159" s="6">
        <v>41426</v>
      </c>
      <c r="B159" s="8">
        <v>19016</v>
      </c>
      <c r="C159" s="3">
        <f t="shared" si="11"/>
        <v>21487</v>
      </c>
      <c r="D159" s="9">
        <f t="shared" si="15"/>
        <v>0.11499976730115884</v>
      </c>
      <c r="E159" s="8">
        <v>17963</v>
      </c>
      <c r="F159" s="3">
        <f t="shared" si="12"/>
        <v>21123</v>
      </c>
      <c r="G159" s="10">
        <f t="shared" si="16"/>
        <v>0.14959996212659188</v>
      </c>
      <c r="H159" s="8">
        <f t="shared" si="14"/>
        <v>36979</v>
      </c>
      <c r="I159" s="5">
        <f t="shared" si="13"/>
        <v>42610</v>
      </c>
      <c r="J159" s="9">
        <f t="shared" si="17"/>
        <v>0.13215207697723538</v>
      </c>
      <c r="K159" s="12">
        <f t="shared" si="18"/>
        <v>0.51423781064928742</v>
      </c>
      <c r="L159" s="12">
        <f t="shared" si="19"/>
        <v>0.48576218935071258</v>
      </c>
    </row>
    <row r="160" spans="1:12" ht="13.2" x14ac:dyDescent="0.25">
      <c r="A160" s="6">
        <v>41395</v>
      </c>
      <c r="B160" s="8">
        <v>16641</v>
      </c>
      <c r="C160" s="3">
        <f t="shared" si="11"/>
        <v>18710</v>
      </c>
      <c r="D160" s="9">
        <f t="shared" si="15"/>
        <v>0.11058257616247996</v>
      </c>
      <c r="E160" s="8">
        <v>17484</v>
      </c>
      <c r="F160" s="3">
        <f t="shared" si="12"/>
        <v>19060</v>
      </c>
      <c r="G160" s="10">
        <f t="shared" si="16"/>
        <v>8.2686253934942291E-2</v>
      </c>
      <c r="H160" s="8">
        <f t="shared" si="14"/>
        <v>34125</v>
      </c>
      <c r="I160" s="5">
        <f t="shared" si="13"/>
        <v>37770</v>
      </c>
      <c r="J160" s="9">
        <f t="shared" si="17"/>
        <v>9.6505162827640989E-2</v>
      </c>
      <c r="K160" s="12">
        <f t="shared" si="18"/>
        <v>0.48764835164835163</v>
      </c>
      <c r="L160" s="12">
        <f t="shared" si="19"/>
        <v>0.51235164835164837</v>
      </c>
    </row>
    <row r="161" spans="1:12" ht="13.2" x14ac:dyDescent="0.25">
      <c r="A161" s="6">
        <v>41365</v>
      </c>
      <c r="B161" s="8">
        <v>20189</v>
      </c>
      <c r="C161" s="3">
        <f t="shared" si="11"/>
        <v>23598</v>
      </c>
      <c r="D161" s="9">
        <f t="shared" si="15"/>
        <v>0.14446139503347741</v>
      </c>
      <c r="E161" s="8">
        <v>20997</v>
      </c>
      <c r="F161" s="3">
        <f t="shared" si="12"/>
        <v>24587</v>
      </c>
      <c r="G161" s="10">
        <f t="shared" si="16"/>
        <v>0.14601212022613577</v>
      </c>
      <c r="H161" s="8">
        <f t="shared" si="14"/>
        <v>41186</v>
      </c>
      <c r="I161" s="5">
        <f t="shared" si="13"/>
        <v>48185</v>
      </c>
      <c r="J161" s="9">
        <f t="shared" si="17"/>
        <v>0.14525267199335892</v>
      </c>
      <c r="K161" s="12">
        <f t="shared" si="18"/>
        <v>0.49019084154809889</v>
      </c>
      <c r="L161" s="12">
        <f t="shared" si="19"/>
        <v>0.50980915845190111</v>
      </c>
    </row>
    <row r="162" spans="1:12" ht="13.2" x14ac:dyDescent="0.25">
      <c r="A162" s="6">
        <v>41334</v>
      </c>
      <c r="B162" s="8">
        <v>22721</v>
      </c>
      <c r="C162" s="3">
        <f t="shared" si="11"/>
        <v>25752</v>
      </c>
      <c r="D162" s="9">
        <f t="shared" si="15"/>
        <v>0.11769959614787201</v>
      </c>
      <c r="E162" s="8">
        <v>21968</v>
      </c>
      <c r="F162" s="3">
        <f t="shared" si="12"/>
        <v>25357</v>
      </c>
      <c r="G162" s="10">
        <f t="shared" si="16"/>
        <v>0.13365145719130811</v>
      </c>
      <c r="H162" s="8">
        <f t="shared" si="14"/>
        <v>44689</v>
      </c>
      <c r="I162" s="5">
        <f t="shared" si="13"/>
        <v>51109</v>
      </c>
      <c r="J162" s="9">
        <f t="shared" si="17"/>
        <v>0.12561388405173257</v>
      </c>
      <c r="K162" s="12">
        <f t="shared" si="18"/>
        <v>0.50842489203159613</v>
      </c>
      <c r="L162" s="12">
        <f t="shared" si="19"/>
        <v>0.49157510796840387</v>
      </c>
    </row>
    <row r="163" spans="1:12" ht="13.2" x14ac:dyDescent="0.25">
      <c r="A163" s="6">
        <v>41306</v>
      </c>
      <c r="B163" s="8">
        <v>17171</v>
      </c>
      <c r="C163" s="3">
        <f t="shared" si="11"/>
        <v>22395</v>
      </c>
      <c r="D163" s="9">
        <f t="shared" si="15"/>
        <v>0.23326635409689664</v>
      </c>
      <c r="E163" s="8">
        <v>17076</v>
      </c>
      <c r="F163" s="3">
        <f t="shared" si="12"/>
        <v>21850</v>
      </c>
      <c r="G163" s="10">
        <f t="shared" si="16"/>
        <v>0.21848970251716246</v>
      </c>
      <c r="H163" s="8">
        <f t="shared" si="14"/>
        <v>34247</v>
      </c>
      <c r="I163" s="5">
        <f t="shared" si="13"/>
        <v>44245</v>
      </c>
      <c r="J163" s="9">
        <f t="shared" si="17"/>
        <v>0.2259690360492711</v>
      </c>
      <c r="K163" s="12">
        <f t="shared" si="18"/>
        <v>0.50138698280141325</v>
      </c>
      <c r="L163" s="12">
        <f t="shared" si="19"/>
        <v>0.49861301719858675</v>
      </c>
    </row>
    <row r="164" spans="1:12" ht="13.2" x14ac:dyDescent="0.25">
      <c r="A164" s="6">
        <v>41275</v>
      </c>
      <c r="B164" s="8">
        <v>18683</v>
      </c>
      <c r="C164" s="3">
        <f t="shared" si="11"/>
        <v>21314</v>
      </c>
      <c r="D164" s="9">
        <f t="shared" si="15"/>
        <v>0.12343999249319695</v>
      </c>
      <c r="E164" s="8">
        <v>16669</v>
      </c>
      <c r="F164" s="3">
        <f t="shared" si="12"/>
        <v>20334</v>
      </c>
      <c r="G164" s="10">
        <f t="shared" si="16"/>
        <v>0.18023999213140554</v>
      </c>
      <c r="H164" s="8">
        <f t="shared" si="14"/>
        <v>35352</v>
      </c>
      <c r="I164" s="5">
        <f t="shared" si="13"/>
        <v>41648</v>
      </c>
      <c r="J164" s="9">
        <f t="shared" si="17"/>
        <v>0.15117172493276987</v>
      </c>
      <c r="K164" s="12">
        <f t="shared" si="18"/>
        <v>0.52848495134645845</v>
      </c>
      <c r="L164" s="12">
        <f t="shared" si="19"/>
        <v>0.47151504865354155</v>
      </c>
    </row>
    <row r="165" spans="1:12" ht="13.2" x14ac:dyDescent="0.25">
      <c r="A165" s="6">
        <v>41244</v>
      </c>
      <c r="B165" s="8">
        <v>18201</v>
      </c>
      <c r="C165" s="3">
        <f t="shared" si="11"/>
        <v>23722</v>
      </c>
      <c r="D165" s="9">
        <f t="shared" si="15"/>
        <v>0.23273754320883569</v>
      </c>
      <c r="E165" s="8">
        <v>19995</v>
      </c>
      <c r="F165" s="3">
        <f t="shared" si="12"/>
        <v>25664</v>
      </c>
      <c r="G165" s="10">
        <f t="shared" si="16"/>
        <v>0.22089307980049874</v>
      </c>
      <c r="H165" s="8">
        <f t="shared" si="14"/>
        <v>38196</v>
      </c>
      <c r="I165" s="5">
        <f t="shared" si="13"/>
        <v>49386</v>
      </c>
      <c r="J165" s="9">
        <f t="shared" si="17"/>
        <v>0.22658243226825417</v>
      </c>
      <c r="K165" s="12">
        <f t="shared" si="18"/>
        <v>0.47651586553565817</v>
      </c>
      <c r="L165" s="12">
        <f t="shared" si="19"/>
        <v>0.52348413446434183</v>
      </c>
    </row>
    <row r="166" spans="1:12" ht="13.2" x14ac:dyDescent="0.25">
      <c r="A166" s="6">
        <v>41214</v>
      </c>
      <c r="B166" s="8">
        <v>19366</v>
      </c>
      <c r="C166" s="3">
        <f t="shared" si="11"/>
        <v>24786</v>
      </c>
      <c r="D166" s="9">
        <f t="shared" si="15"/>
        <v>0.2186718308722666</v>
      </c>
      <c r="E166" s="8">
        <v>18241</v>
      </c>
      <c r="F166" s="3">
        <f t="shared" si="12"/>
        <v>23942</v>
      </c>
      <c r="G166" s="10">
        <f t="shared" si="16"/>
        <v>0.23811711636454766</v>
      </c>
      <c r="H166" s="8">
        <f t="shared" si="14"/>
        <v>37607</v>
      </c>
      <c r="I166" s="5">
        <f t="shared" si="13"/>
        <v>48728</v>
      </c>
      <c r="J166" s="9">
        <f t="shared" si="17"/>
        <v>0.22822607125266786</v>
      </c>
      <c r="K166" s="12">
        <f t="shared" si="18"/>
        <v>0.51495732177520137</v>
      </c>
      <c r="L166" s="12">
        <f t="shared" si="19"/>
        <v>0.48504267822479857</v>
      </c>
    </row>
    <row r="167" spans="1:12" ht="13.2" x14ac:dyDescent="0.25">
      <c r="A167" s="6">
        <v>41183</v>
      </c>
      <c r="B167" s="8">
        <v>24878</v>
      </c>
      <c r="C167" s="3">
        <f t="shared" si="11"/>
        <v>31524</v>
      </c>
      <c r="D167" s="9">
        <f t="shared" si="15"/>
        <v>0.21082349955589391</v>
      </c>
      <c r="E167" s="8">
        <v>26014</v>
      </c>
      <c r="F167" s="3">
        <f t="shared" si="12"/>
        <v>31081</v>
      </c>
      <c r="G167" s="10">
        <f t="shared" si="16"/>
        <v>0.16302564267558958</v>
      </c>
      <c r="H167" s="8">
        <f t="shared" si="14"/>
        <v>50892</v>
      </c>
      <c r="I167" s="5">
        <f t="shared" si="13"/>
        <v>62605</v>
      </c>
      <c r="J167" s="9">
        <f t="shared" si="17"/>
        <v>0.1870936826132098</v>
      </c>
      <c r="K167" s="12">
        <f t="shared" si="18"/>
        <v>0.48883911027273441</v>
      </c>
      <c r="L167" s="12">
        <f t="shared" si="19"/>
        <v>0.51116088972726559</v>
      </c>
    </row>
    <row r="168" spans="1:12" ht="13.2" x14ac:dyDescent="0.25">
      <c r="A168" s="6">
        <v>41153</v>
      </c>
      <c r="B168" s="8">
        <v>21643</v>
      </c>
      <c r="C168" s="3">
        <f t="shared" si="11"/>
        <v>31430</v>
      </c>
      <c r="D168" s="9">
        <f t="shared" si="15"/>
        <v>0.31139039134584789</v>
      </c>
      <c r="E168" s="8">
        <v>23124</v>
      </c>
      <c r="F168" s="3">
        <f t="shared" si="12"/>
        <v>33506</v>
      </c>
      <c r="G168" s="10">
        <f t="shared" si="16"/>
        <v>0.30985495135199664</v>
      </c>
      <c r="H168" s="8">
        <f t="shared" si="14"/>
        <v>44767</v>
      </c>
      <c r="I168" s="5">
        <f t="shared" si="13"/>
        <v>64936</v>
      </c>
      <c r="J168" s="9">
        <f t="shared" si="17"/>
        <v>0.31059812738696563</v>
      </c>
      <c r="K168" s="12">
        <f t="shared" si="18"/>
        <v>0.48345879777514689</v>
      </c>
      <c r="L168" s="12">
        <f t="shared" si="19"/>
        <v>0.51654120222485311</v>
      </c>
    </row>
    <row r="169" spans="1:12" ht="13.2" x14ac:dyDescent="0.25">
      <c r="A169" s="6">
        <v>41122</v>
      </c>
      <c r="B169" s="8">
        <v>28701</v>
      </c>
      <c r="C169" s="3">
        <f t="shared" si="11"/>
        <v>41560</v>
      </c>
      <c r="D169" s="9">
        <f t="shared" si="15"/>
        <v>0.30940808469682385</v>
      </c>
      <c r="E169" s="8">
        <v>29193</v>
      </c>
      <c r="F169" s="3">
        <f t="shared" si="12"/>
        <v>42462</v>
      </c>
      <c r="G169" s="10">
        <f t="shared" si="16"/>
        <v>0.31249116857425463</v>
      </c>
      <c r="H169" s="8">
        <f t="shared" si="14"/>
        <v>57894</v>
      </c>
      <c r="I169" s="5">
        <f t="shared" si="13"/>
        <v>84022</v>
      </c>
      <c r="J169" s="9">
        <f t="shared" si="17"/>
        <v>0.31096617552545763</v>
      </c>
      <c r="K169" s="12">
        <f t="shared" si="18"/>
        <v>0.49575085501088195</v>
      </c>
      <c r="L169" s="12">
        <f t="shared" si="19"/>
        <v>0.50424914498911799</v>
      </c>
    </row>
    <row r="170" spans="1:12" ht="13.2" x14ac:dyDescent="0.25">
      <c r="A170" s="6">
        <v>41091</v>
      </c>
      <c r="B170" s="8">
        <v>27845</v>
      </c>
      <c r="C170" s="3">
        <f t="shared" si="11"/>
        <v>39779</v>
      </c>
      <c r="D170" s="9">
        <f t="shared" si="15"/>
        <v>0.30000754166771409</v>
      </c>
      <c r="E170" s="8">
        <v>27251</v>
      </c>
      <c r="F170" s="3">
        <f t="shared" si="12"/>
        <v>39324</v>
      </c>
      <c r="G170" s="10">
        <f t="shared" si="16"/>
        <v>0.30701352863391312</v>
      </c>
      <c r="H170" s="8">
        <f t="shared" si="14"/>
        <v>55096</v>
      </c>
      <c r="I170" s="5">
        <f t="shared" si="13"/>
        <v>79103</v>
      </c>
      <c r="J170" s="9">
        <f t="shared" si="17"/>
        <v>0.30349038595249234</v>
      </c>
      <c r="K170" s="12">
        <f t="shared" si="18"/>
        <v>0.50539059096849137</v>
      </c>
      <c r="L170" s="12">
        <f t="shared" si="19"/>
        <v>0.49460940903150863</v>
      </c>
    </row>
    <row r="171" spans="1:12" ht="13.2" x14ac:dyDescent="0.25">
      <c r="A171" s="6">
        <v>41061</v>
      </c>
      <c r="B171" s="8">
        <v>21487</v>
      </c>
      <c r="C171" s="3">
        <f t="shared" si="11"/>
        <v>32546</v>
      </c>
      <c r="D171" s="9">
        <f t="shared" si="15"/>
        <v>0.3397959810729429</v>
      </c>
      <c r="E171" s="8">
        <v>21123</v>
      </c>
      <c r="F171" s="3">
        <f t="shared" si="12"/>
        <v>30607</v>
      </c>
      <c r="G171" s="10">
        <f t="shared" si="16"/>
        <v>0.30986375665697391</v>
      </c>
      <c r="H171" s="8">
        <f t="shared" si="14"/>
        <v>42610</v>
      </c>
      <c r="I171" s="5">
        <f t="shared" si="13"/>
        <v>63153</v>
      </c>
      <c r="J171" s="9">
        <f t="shared" si="17"/>
        <v>0.32528937659335266</v>
      </c>
      <c r="K171" s="12">
        <f t="shared" si="18"/>
        <v>0.50427129781741376</v>
      </c>
      <c r="L171" s="12">
        <f t="shared" si="19"/>
        <v>0.49572870218258624</v>
      </c>
    </row>
    <row r="172" spans="1:12" ht="13.2" x14ac:dyDescent="0.25">
      <c r="A172" s="6">
        <v>41030</v>
      </c>
      <c r="B172" s="8">
        <v>18710</v>
      </c>
      <c r="C172" s="3">
        <f t="shared" si="11"/>
        <v>30732</v>
      </c>
      <c r="D172" s="9">
        <f t="shared" si="15"/>
        <v>0.39118833788884549</v>
      </c>
      <c r="E172" s="8">
        <v>19060</v>
      </c>
      <c r="F172" s="3">
        <f t="shared" si="12"/>
        <v>32390</v>
      </c>
      <c r="G172" s="10">
        <f t="shared" si="16"/>
        <v>0.41154677369558507</v>
      </c>
      <c r="H172" s="8">
        <f t="shared" si="14"/>
        <v>37770</v>
      </c>
      <c r="I172" s="5">
        <f t="shared" si="13"/>
        <v>63122</v>
      </c>
      <c r="J172" s="9">
        <f t="shared" si="17"/>
        <v>0.40163492918475335</v>
      </c>
      <c r="K172" s="12">
        <f t="shared" si="18"/>
        <v>0.49536669314270587</v>
      </c>
      <c r="L172" s="12">
        <f t="shared" si="19"/>
        <v>0.50463330685729413</v>
      </c>
    </row>
    <row r="173" spans="1:12" ht="13.2" x14ac:dyDescent="0.25">
      <c r="A173" s="6">
        <v>41000</v>
      </c>
      <c r="B173" s="8">
        <v>23598</v>
      </c>
      <c r="C173" s="3">
        <f t="shared" si="11"/>
        <v>36935</v>
      </c>
      <c r="D173" s="9">
        <f t="shared" si="15"/>
        <v>0.3610938134560715</v>
      </c>
      <c r="E173" s="8">
        <v>24587</v>
      </c>
      <c r="F173" s="3">
        <f t="shared" si="12"/>
        <v>36370</v>
      </c>
      <c r="G173" s="10">
        <f t="shared" si="16"/>
        <v>0.32397580423425898</v>
      </c>
      <c r="H173" s="8">
        <f t="shared" si="14"/>
        <v>48185</v>
      </c>
      <c r="I173" s="5">
        <f t="shared" si="13"/>
        <v>73305</v>
      </c>
      <c r="J173" s="9">
        <f t="shared" si="17"/>
        <v>0.34267785280676627</v>
      </c>
      <c r="K173" s="12">
        <f t="shared" si="18"/>
        <v>0.48973747016706443</v>
      </c>
      <c r="L173" s="12">
        <f t="shared" si="19"/>
        <v>0.51026252983293552</v>
      </c>
    </row>
    <row r="174" spans="1:12" ht="13.2" x14ac:dyDescent="0.25">
      <c r="A174" s="6">
        <v>40969</v>
      </c>
      <c r="B174" s="8">
        <v>25752</v>
      </c>
      <c r="C174" s="3">
        <f t="shared" si="11"/>
        <v>33279</v>
      </c>
      <c r="D174" s="9">
        <f t="shared" si="15"/>
        <v>0.22617867123411159</v>
      </c>
      <c r="E174" s="8">
        <v>25357</v>
      </c>
      <c r="F174" s="3">
        <f t="shared" si="12"/>
        <v>32661</v>
      </c>
      <c r="G174" s="10">
        <f t="shared" si="16"/>
        <v>0.22363062980312912</v>
      </c>
      <c r="H174" s="8">
        <f t="shared" si="14"/>
        <v>51109</v>
      </c>
      <c r="I174" s="5">
        <f t="shared" si="13"/>
        <v>65940</v>
      </c>
      <c r="J174" s="9">
        <f t="shared" si="17"/>
        <v>0.22491659084015772</v>
      </c>
      <c r="K174" s="12">
        <f t="shared" si="18"/>
        <v>0.50386429004676281</v>
      </c>
      <c r="L174" s="12">
        <f t="shared" si="19"/>
        <v>0.49613570995323719</v>
      </c>
    </row>
    <row r="175" spans="1:12" ht="13.2" x14ac:dyDescent="0.25">
      <c r="A175" s="6">
        <v>40940</v>
      </c>
      <c r="B175" s="8">
        <v>22395</v>
      </c>
      <c r="C175" s="3">
        <f t="shared" si="11"/>
        <v>26394</v>
      </c>
      <c r="D175" s="9">
        <f t="shared" si="15"/>
        <v>0.15151170720618323</v>
      </c>
      <c r="E175" s="8">
        <v>21850</v>
      </c>
      <c r="F175" s="3">
        <f t="shared" si="12"/>
        <v>26103</v>
      </c>
      <c r="G175" s="10">
        <f t="shared" si="16"/>
        <v>0.16293146381641957</v>
      </c>
      <c r="H175" s="8">
        <f t="shared" si="14"/>
        <v>44245</v>
      </c>
      <c r="I175" s="5">
        <f t="shared" si="13"/>
        <v>52497</v>
      </c>
      <c r="J175" s="9">
        <f t="shared" si="17"/>
        <v>0.15718993466293313</v>
      </c>
      <c r="K175" s="12">
        <f t="shared" si="18"/>
        <v>0.50615888800994457</v>
      </c>
      <c r="L175" s="12">
        <f t="shared" si="19"/>
        <v>0.49384111199005537</v>
      </c>
    </row>
    <row r="176" spans="1:12" ht="13.2" x14ac:dyDescent="0.25">
      <c r="A176" s="6">
        <v>40909</v>
      </c>
      <c r="B176" s="8">
        <v>21314</v>
      </c>
      <c r="C176" s="3">
        <f t="shared" si="11"/>
        <v>22783</v>
      </c>
      <c r="D176" s="9">
        <f t="shared" si="15"/>
        <v>6.4477900188737211E-2</v>
      </c>
      <c r="E176" s="8">
        <v>20334</v>
      </c>
      <c r="F176" s="3">
        <f t="shared" si="12"/>
        <v>20947</v>
      </c>
      <c r="G176" s="10">
        <f t="shared" si="16"/>
        <v>2.9264333794815488E-2</v>
      </c>
      <c r="H176" s="8">
        <f t="shared" si="14"/>
        <v>41648</v>
      </c>
      <c r="I176" s="5">
        <f t="shared" si="13"/>
        <v>43730</v>
      </c>
      <c r="J176" s="9">
        <f t="shared" si="17"/>
        <v>4.7610336153670246E-2</v>
      </c>
      <c r="K176" s="12">
        <f t="shared" si="18"/>
        <v>0.51176527084133694</v>
      </c>
      <c r="L176" s="12">
        <f t="shared" si="19"/>
        <v>0.48823472915866306</v>
      </c>
    </row>
    <row r="177" spans="1:12" ht="13.2" x14ac:dyDescent="0.25">
      <c r="A177" s="6">
        <v>40878</v>
      </c>
      <c r="B177" s="8">
        <v>23722</v>
      </c>
      <c r="C177" s="3">
        <f t="shared" si="11"/>
        <v>23425</v>
      </c>
      <c r="D177" s="9">
        <f t="shared" si="15"/>
        <v>1.2678762006403416E-2</v>
      </c>
      <c r="E177" s="8">
        <v>25664</v>
      </c>
      <c r="F177" s="3">
        <f t="shared" si="12"/>
        <v>25132</v>
      </c>
      <c r="G177" s="10">
        <f t="shared" si="16"/>
        <v>2.1168231736431641E-2</v>
      </c>
      <c r="H177" s="8">
        <f t="shared" si="14"/>
        <v>49386</v>
      </c>
      <c r="I177" s="5">
        <f t="shared" si="13"/>
        <v>48557</v>
      </c>
      <c r="J177" s="9">
        <f t="shared" si="17"/>
        <v>1.707271866054328E-2</v>
      </c>
      <c r="K177" s="12">
        <f t="shared" si="18"/>
        <v>0.48033855748592719</v>
      </c>
      <c r="L177" s="12">
        <f t="shared" si="19"/>
        <v>0.51966144251407287</v>
      </c>
    </row>
    <row r="178" spans="1:12" ht="13.2" x14ac:dyDescent="0.25">
      <c r="A178" s="6">
        <v>40848</v>
      </c>
      <c r="B178" s="8">
        <v>24786</v>
      </c>
      <c r="C178" s="3">
        <f t="shared" si="11"/>
        <v>27910</v>
      </c>
      <c r="D178" s="9">
        <f t="shared" si="15"/>
        <v>0.11193120745252598</v>
      </c>
      <c r="E178" s="8">
        <v>23942</v>
      </c>
      <c r="F178" s="3">
        <f t="shared" si="12"/>
        <v>26974</v>
      </c>
      <c r="G178" s="10">
        <f t="shared" si="16"/>
        <v>0.11240453770297323</v>
      </c>
      <c r="H178" s="8">
        <f t="shared" si="14"/>
        <v>48728</v>
      </c>
      <c r="I178" s="5">
        <f t="shared" si="13"/>
        <v>54884</v>
      </c>
      <c r="J178" s="9">
        <f t="shared" si="17"/>
        <v>0.11216383645506887</v>
      </c>
      <c r="K178" s="12">
        <f t="shared" si="18"/>
        <v>0.50866031850270887</v>
      </c>
      <c r="L178" s="12">
        <f t="shared" si="19"/>
        <v>0.49133968149729107</v>
      </c>
    </row>
    <row r="179" spans="1:12" ht="13.2" x14ac:dyDescent="0.25">
      <c r="A179" s="6">
        <v>40817</v>
      </c>
      <c r="B179" s="8">
        <v>31524</v>
      </c>
      <c r="C179" s="3">
        <f t="shared" si="11"/>
        <v>27036</v>
      </c>
      <c r="D179" s="9">
        <f t="shared" si="15"/>
        <v>0.16600088770528185</v>
      </c>
      <c r="E179" s="8">
        <v>31081</v>
      </c>
      <c r="F179" s="3">
        <f t="shared" si="12"/>
        <v>27310</v>
      </c>
      <c r="G179" s="10">
        <f t="shared" si="16"/>
        <v>0.13808128890516294</v>
      </c>
      <c r="H179" s="8">
        <f t="shared" si="14"/>
        <v>62605</v>
      </c>
      <c r="I179" s="5">
        <f t="shared" si="13"/>
        <v>54346</v>
      </c>
      <c r="J179" s="9">
        <f t="shared" si="17"/>
        <v>0.15197070621572883</v>
      </c>
      <c r="K179" s="12">
        <f t="shared" si="18"/>
        <v>0.50353805606580948</v>
      </c>
      <c r="L179" s="12">
        <f t="shared" si="19"/>
        <v>0.49646194393419057</v>
      </c>
    </row>
    <row r="180" spans="1:12" ht="13.2" x14ac:dyDescent="0.25">
      <c r="A180" s="6">
        <v>40787</v>
      </c>
      <c r="B180" s="8">
        <v>31430</v>
      </c>
      <c r="C180" s="3">
        <f t="shared" si="11"/>
        <v>27751</v>
      </c>
      <c r="D180" s="9">
        <f t="shared" si="15"/>
        <v>0.13257179921444273</v>
      </c>
      <c r="E180" s="8">
        <v>33506</v>
      </c>
      <c r="F180" s="3">
        <f t="shared" si="12"/>
        <v>29417</v>
      </c>
      <c r="G180" s="10">
        <f t="shared" si="16"/>
        <v>0.13900125777611586</v>
      </c>
      <c r="H180" s="8">
        <f t="shared" si="14"/>
        <v>64936</v>
      </c>
      <c r="I180" s="5">
        <f t="shared" si="13"/>
        <v>57168</v>
      </c>
      <c r="J180" s="9">
        <f t="shared" si="17"/>
        <v>0.13588021270640918</v>
      </c>
      <c r="K180" s="12">
        <f t="shared" si="18"/>
        <v>0.48401503018356534</v>
      </c>
      <c r="L180" s="12">
        <f t="shared" si="19"/>
        <v>0.5159849698164346</v>
      </c>
    </row>
    <row r="181" spans="1:12" ht="13.2" x14ac:dyDescent="0.25">
      <c r="A181" s="6">
        <v>40756</v>
      </c>
      <c r="B181" s="8">
        <v>41560</v>
      </c>
      <c r="C181" s="3">
        <f t="shared" si="11"/>
        <v>40660</v>
      </c>
      <c r="D181" s="9">
        <f t="shared" si="15"/>
        <v>2.2134776192818496E-2</v>
      </c>
      <c r="E181" s="8">
        <v>42462</v>
      </c>
      <c r="F181" s="3">
        <f t="shared" si="12"/>
        <v>40976</v>
      </c>
      <c r="G181" s="10">
        <f t="shared" si="16"/>
        <v>3.6265130808278014E-2</v>
      </c>
      <c r="H181" s="8">
        <f t="shared" si="14"/>
        <v>84022</v>
      </c>
      <c r="I181" s="5">
        <f t="shared" si="13"/>
        <v>81636</v>
      </c>
      <c r="J181" s="9">
        <f t="shared" si="17"/>
        <v>2.9227301680631094E-2</v>
      </c>
      <c r="K181" s="12">
        <f t="shared" si="18"/>
        <v>0.4946323581919021</v>
      </c>
      <c r="L181" s="12">
        <f t="shared" si="19"/>
        <v>0.5053676418080979</v>
      </c>
    </row>
    <row r="182" spans="1:12" ht="13.2" x14ac:dyDescent="0.25">
      <c r="A182" s="6">
        <v>40725</v>
      </c>
      <c r="B182" s="8">
        <v>39779</v>
      </c>
      <c r="C182" s="3">
        <f t="shared" si="11"/>
        <v>37628</v>
      </c>
      <c r="D182" s="9">
        <f t="shared" si="15"/>
        <v>5.7164877219092164E-2</v>
      </c>
      <c r="E182" s="8">
        <v>39324</v>
      </c>
      <c r="F182" s="3">
        <f t="shared" si="12"/>
        <v>36255</v>
      </c>
      <c r="G182" s="10">
        <f t="shared" si="16"/>
        <v>8.4650393049234593E-2</v>
      </c>
      <c r="H182" s="8">
        <f t="shared" si="14"/>
        <v>79103</v>
      </c>
      <c r="I182" s="5">
        <f t="shared" si="13"/>
        <v>73883</v>
      </c>
      <c r="J182" s="9">
        <f t="shared" si="17"/>
        <v>7.0652247472354934E-2</v>
      </c>
      <c r="K182" s="12">
        <f t="shared" si="18"/>
        <v>0.50287599711768205</v>
      </c>
      <c r="L182" s="12">
        <f t="shared" si="19"/>
        <v>0.49712400288231801</v>
      </c>
    </row>
    <row r="183" spans="1:12" ht="13.2" x14ac:dyDescent="0.25">
      <c r="A183" s="6">
        <v>40695</v>
      </c>
      <c r="B183" s="8">
        <v>32546</v>
      </c>
      <c r="C183" s="3">
        <f t="shared" si="11"/>
        <v>23833</v>
      </c>
      <c r="D183" s="9">
        <f t="shared" si="15"/>
        <v>0.36558553266479249</v>
      </c>
      <c r="E183" s="8">
        <v>30607</v>
      </c>
      <c r="F183" s="3">
        <f t="shared" si="12"/>
        <v>22563</v>
      </c>
      <c r="G183" s="10">
        <f t="shared" si="16"/>
        <v>0.35651287506094048</v>
      </c>
      <c r="H183" s="8">
        <f t="shared" si="14"/>
        <v>63153</v>
      </c>
      <c r="I183" s="5">
        <f t="shared" si="13"/>
        <v>46396</v>
      </c>
      <c r="J183" s="9">
        <f t="shared" si="17"/>
        <v>0.36117337701525992</v>
      </c>
      <c r="K183" s="12">
        <f t="shared" si="18"/>
        <v>0.51535160641616395</v>
      </c>
      <c r="L183" s="12">
        <f t="shared" si="19"/>
        <v>0.4846483935838361</v>
      </c>
    </row>
    <row r="184" spans="1:12" ht="13.2" x14ac:dyDescent="0.25">
      <c r="A184" s="6">
        <v>40664</v>
      </c>
      <c r="B184" s="8">
        <v>30732</v>
      </c>
      <c r="C184" s="3">
        <f t="shared" si="11"/>
        <v>20136</v>
      </c>
      <c r="D184" s="9">
        <f t="shared" si="15"/>
        <v>0.52622169249106077</v>
      </c>
      <c r="E184" s="8">
        <v>32390</v>
      </c>
      <c r="F184" s="3">
        <f t="shared" si="12"/>
        <v>20647</v>
      </c>
      <c r="G184" s="10">
        <f t="shared" si="16"/>
        <v>0.56875090812224538</v>
      </c>
      <c r="H184" s="8">
        <f t="shared" si="14"/>
        <v>63122</v>
      </c>
      <c r="I184" s="5">
        <f t="shared" si="13"/>
        <v>40783</v>
      </c>
      <c r="J184" s="9">
        <f t="shared" si="17"/>
        <v>0.54775274011230168</v>
      </c>
      <c r="K184" s="12">
        <f t="shared" si="18"/>
        <v>0.48686670257596398</v>
      </c>
      <c r="L184" s="12">
        <f t="shared" si="19"/>
        <v>0.51313329742403602</v>
      </c>
    </row>
    <row r="185" spans="1:12" ht="13.2" x14ac:dyDescent="0.25">
      <c r="A185" s="6">
        <v>40634</v>
      </c>
      <c r="B185" s="8">
        <v>36935</v>
      </c>
      <c r="C185" s="3">
        <f t="shared" si="11"/>
        <v>19615</v>
      </c>
      <c r="D185" s="9">
        <f t="shared" si="15"/>
        <v>0.88299770583736936</v>
      </c>
      <c r="E185" s="8">
        <v>36370</v>
      </c>
      <c r="F185" s="3">
        <f t="shared" si="12"/>
        <v>21287</v>
      </c>
      <c r="G185" s="10">
        <f t="shared" si="16"/>
        <v>0.70855451684126458</v>
      </c>
      <c r="H185" s="8">
        <f t="shared" si="14"/>
        <v>73305</v>
      </c>
      <c r="I185" s="5">
        <f t="shared" si="13"/>
        <v>40902</v>
      </c>
      <c r="J185" s="9">
        <f t="shared" si="17"/>
        <v>0.79221064984597334</v>
      </c>
      <c r="K185" s="12">
        <f t="shared" si="18"/>
        <v>0.50385376168064933</v>
      </c>
      <c r="L185" s="12">
        <f t="shared" si="19"/>
        <v>0.49614623831935067</v>
      </c>
    </row>
    <row r="186" spans="1:12" ht="13.2" x14ac:dyDescent="0.25">
      <c r="A186" s="6">
        <v>40603</v>
      </c>
      <c r="B186" s="8">
        <v>33279</v>
      </c>
      <c r="C186" s="3">
        <f t="shared" ref="C186:C249" si="20">B198</f>
        <v>22666</v>
      </c>
      <c r="D186" s="9">
        <f t="shared" si="15"/>
        <v>0.46823435983411277</v>
      </c>
      <c r="E186" s="8">
        <v>32661</v>
      </c>
      <c r="F186" s="3">
        <f t="shared" ref="F186:F249" si="21">E198</f>
        <v>21235</v>
      </c>
      <c r="G186" s="10">
        <f t="shared" si="16"/>
        <v>0.53807393454202967</v>
      </c>
      <c r="H186" s="8">
        <f t="shared" si="14"/>
        <v>65940</v>
      </c>
      <c r="I186" s="5">
        <f t="shared" ref="I186:I249" si="22">H198</f>
        <v>43901</v>
      </c>
      <c r="J186" s="9">
        <f t="shared" si="17"/>
        <v>0.50201589941003621</v>
      </c>
      <c r="K186" s="12">
        <f t="shared" si="18"/>
        <v>0.50468607825295719</v>
      </c>
      <c r="L186" s="12">
        <f t="shared" si="19"/>
        <v>0.49531392174704275</v>
      </c>
    </row>
    <row r="187" spans="1:12" ht="13.2" x14ac:dyDescent="0.25">
      <c r="A187" s="6">
        <v>40575</v>
      </c>
      <c r="B187" s="8">
        <v>26394</v>
      </c>
      <c r="C187" s="3">
        <f t="shared" si="20"/>
        <v>16998</v>
      </c>
      <c r="D187" s="9">
        <f t="shared" si="15"/>
        <v>0.55277091422520297</v>
      </c>
      <c r="E187" s="8">
        <v>26103</v>
      </c>
      <c r="F187" s="3">
        <f t="shared" si="21"/>
        <v>16399</v>
      </c>
      <c r="G187" s="10">
        <f t="shared" si="16"/>
        <v>0.5917433989877432</v>
      </c>
      <c r="H187" s="8">
        <f t="shared" si="14"/>
        <v>52497</v>
      </c>
      <c r="I187" s="5">
        <f t="shared" si="22"/>
        <v>33397</v>
      </c>
      <c r="J187" s="9">
        <f t="shared" si="17"/>
        <v>0.57190765637632124</v>
      </c>
      <c r="K187" s="12">
        <f t="shared" si="18"/>
        <v>0.50277158694782564</v>
      </c>
      <c r="L187" s="12">
        <f t="shared" si="19"/>
        <v>0.49722841305217441</v>
      </c>
    </row>
    <row r="188" spans="1:12" ht="13.2" x14ac:dyDescent="0.25">
      <c r="A188" s="6">
        <v>40544</v>
      </c>
      <c r="B188" s="8">
        <v>22783</v>
      </c>
      <c r="C188" s="3">
        <f t="shared" si="20"/>
        <v>15389</v>
      </c>
      <c r="D188" s="9">
        <f t="shared" si="15"/>
        <v>0.48047306517642474</v>
      </c>
      <c r="E188" s="8">
        <v>20947</v>
      </c>
      <c r="F188" s="3">
        <f t="shared" si="21"/>
        <v>14311</v>
      </c>
      <c r="G188" s="10">
        <f t="shared" si="16"/>
        <v>0.4636992523233876</v>
      </c>
      <c r="H188" s="8">
        <f t="shared" si="14"/>
        <v>43730</v>
      </c>
      <c r="I188" s="5">
        <f t="shared" si="22"/>
        <v>29700</v>
      </c>
      <c r="J188" s="9">
        <f t="shared" si="17"/>
        <v>0.47239057239057242</v>
      </c>
      <c r="K188" s="12">
        <f t="shared" si="18"/>
        <v>0.52099245369311686</v>
      </c>
      <c r="L188" s="12">
        <f t="shared" si="19"/>
        <v>0.47900754630688314</v>
      </c>
    </row>
    <row r="189" spans="1:12" ht="13.2" x14ac:dyDescent="0.25">
      <c r="A189" s="6">
        <v>40513</v>
      </c>
      <c r="B189" s="8">
        <v>23425</v>
      </c>
      <c r="C189" s="3">
        <f t="shared" si="20"/>
        <v>17258</v>
      </c>
      <c r="D189" s="9">
        <f t="shared" si="15"/>
        <v>0.35734152277204773</v>
      </c>
      <c r="E189" s="8">
        <v>25132</v>
      </c>
      <c r="F189" s="3">
        <f t="shared" si="21"/>
        <v>19301</v>
      </c>
      <c r="G189" s="10">
        <f t="shared" si="16"/>
        <v>0.30210869903113829</v>
      </c>
      <c r="H189" s="8">
        <f t="shared" si="14"/>
        <v>48557</v>
      </c>
      <c r="I189" s="5">
        <f t="shared" si="22"/>
        <v>36559</v>
      </c>
      <c r="J189" s="9">
        <f t="shared" si="17"/>
        <v>0.3281818430482234</v>
      </c>
      <c r="K189" s="12">
        <f t="shared" si="18"/>
        <v>0.4824227196902609</v>
      </c>
      <c r="L189" s="12">
        <f t="shared" si="19"/>
        <v>0.51757728030973904</v>
      </c>
    </row>
    <row r="190" spans="1:12" ht="13.2" x14ac:dyDescent="0.25">
      <c r="A190" s="6">
        <v>40483</v>
      </c>
      <c r="B190" s="8">
        <v>27910</v>
      </c>
      <c r="C190" s="3">
        <f t="shared" si="20"/>
        <v>18490</v>
      </c>
      <c r="D190" s="9">
        <f t="shared" si="15"/>
        <v>0.50946457544618717</v>
      </c>
      <c r="E190" s="8">
        <v>26974</v>
      </c>
      <c r="F190" s="3">
        <f t="shared" si="21"/>
        <v>18015</v>
      </c>
      <c r="G190" s="10">
        <f t="shared" si="16"/>
        <v>0.49730779905634193</v>
      </c>
      <c r="H190" s="8">
        <f t="shared" si="14"/>
        <v>54884</v>
      </c>
      <c r="I190" s="5">
        <f t="shared" si="22"/>
        <v>36505</v>
      </c>
      <c r="J190" s="9">
        <f t="shared" si="17"/>
        <v>0.5034652787289412</v>
      </c>
      <c r="K190" s="12">
        <f t="shared" si="18"/>
        <v>0.50852707528605789</v>
      </c>
      <c r="L190" s="12">
        <f t="shared" si="19"/>
        <v>0.49147292471394211</v>
      </c>
    </row>
    <row r="191" spans="1:12" ht="13.2" x14ac:dyDescent="0.25">
      <c r="A191" s="6">
        <v>40452</v>
      </c>
      <c r="B191" s="8">
        <v>27036</v>
      </c>
      <c r="C191" s="3">
        <f t="shared" si="20"/>
        <v>20508</v>
      </c>
      <c r="D191" s="9">
        <f t="shared" si="15"/>
        <v>0.31831480397893502</v>
      </c>
      <c r="E191" s="8">
        <v>27310</v>
      </c>
      <c r="F191" s="3">
        <f t="shared" si="21"/>
        <v>19976</v>
      </c>
      <c r="G191" s="10">
        <f t="shared" si="16"/>
        <v>0.3671405686824189</v>
      </c>
      <c r="H191" s="8">
        <f t="shared" si="14"/>
        <v>54346</v>
      </c>
      <c r="I191" s="5">
        <f t="shared" si="22"/>
        <v>40484</v>
      </c>
      <c r="J191" s="9">
        <f t="shared" si="17"/>
        <v>0.34240687679083093</v>
      </c>
      <c r="K191" s="12">
        <f t="shared" si="18"/>
        <v>0.49747911529827404</v>
      </c>
      <c r="L191" s="12">
        <f t="shared" si="19"/>
        <v>0.50252088470172596</v>
      </c>
    </row>
    <row r="192" spans="1:12" ht="13.2" x14ac:dyDescent="0.25">
      <c r="A192" s="6">
        <v>40422</v>
      </c>
      <c r="B192" s="8">
        <v>27751</v>
      </c>
      <c r="C192" s="3">
        <f t="shared" si="20"/>
        <v>23216</v>
      </c>
      <c r="D192" s="9">
        <f t="shared" si="15"/>
        <v>0.1953394210889042</v>
      </c>
      <c r="E192" s="8">
        <v>29417</v>
      </c>
      <c r="F192" s="3">
        <f t="shared" si="21"/>
        <v>25175</v>
      </c>
      <c r="G192" s="10">
        <f t="shared" si="16"/>
        <v>0.16850049652432969</v>
      </c>
      <c r="H192" s="8">
        <f t="shared" si="14"/>
        <v>57168</v>
      </c>
      <c r="I192" s="5">
        <f t="shared" si="22"/>
        <v>48391</v>
      </c>
      <c r="J192" s="9">
        <f t="shared" si="17"/>
        <v>0.18137670227934946</v>
      </c>
      <c r="K192" s="12">
        <f t="shared" si="18"/>
        <v>0.4854289112790372</v>
      </c>
      <c r="L192" s="12">
        <f t="shared" si="19"/>
        <v>0.5145710887209628</v>
      </c>
    </row>
    <row r="193" spans="1:12" ht="13.2" x14ac:dyDescent="0.25">
      <c r="A193" s="6">
        <v>40391</v>
      </c>
      <c r="B193" s="8">
        <v>40660</v>
      </c>
      <c r="C193" s="3">
        <f t="shared" si="20"/>
        <v>32101</v>
      </c>
      <c r="D193" s="9">
        <f t="shared" si="15"/>
        <v>0.2666272078751441</v>
      </c>
      <c r="E193" s="8">
        <v>40976</v>
      </c>
      <c r="F193" s="3">
        <f t="shared" si="21"/>
        <v>32517</v>
      </c>
      <c r="G193" s="10">
        <f t="shared" si="16"/>
        <v>0.26014084940185134</v>
      </c>
      <c r="H193" s="8">
        <f t="shared" si="14"/>
        <v>81636</v>
      </c>
      <c r="I193" s="5">
        <f t="shared" si="22"/>
        <v>64618</v>
      </c>
      <c r="J193" s="9">
        <f t="shared" si="17"/>
        <v>0.26336314958680246</v>
      </c>
      <c r="K193" s="12">
        <f t="shared" si="18"/>
        <v>0.49806457935224657</v>
      </c>
      <c r="L193" s="12">
        <f t="shared" si="19"/>
        <v>0.50193542064775343</v>
      </c>
    </row>
    <row r="194" spans="1:12" ht="13.2" x14ac:dyDescent="0.25">
      <c r="A194" s="6">
        <v>40360</v>
      </c>
      <c r="B194" s="8">
        <v>37628</v>
      </c>
      <c r="C194" s="3">
        <f t="shared" si="20"/>
        <v>31789</v>
      </c>
      <c r="D194" s="9">
        <f t="shared" si="15"/>
        <v>0.18367988926987322</v>
      </c>
      <c r="E194" s="8">
        <v>36255</v>
      </c>
      <c r="F194" s="3">
        <f t="shared" si="21"/>
        <v>30864</v>
      </c>
      <c r="G194" s="10">
        <f t="shared" si="16"/>
        <v>0.17466951788491447</v>
      </c>
      <c r="H194" s="8">
        <f t="shared" si="14"/>
        <v>73883</v>
      </c>
      <c r="I194" s="5">
        <f t="shared" si="22"/>
        <v>62653</v>
      </c>
      <c r="J194" s="9">
        <f t="shared" si="17"/>
        <v>0.17924121749956107</v>
      </c>
      <c r="K194" s="12">
        <f t="shared" si="18"/>
        <v>0.50929171798654627</v>
      </c>
      <c r="L194" s="12">
        <f t="shared" si="19"/>
        <v>0.49070828201345368</v>
      </c>
    </row>
    <row r="195" spans="1:12" ht="13.2" x14ac:dyDescent="0.25">
      <c r="A195" s="6">
        <v>40330</v>
      </c>
      <c r="B195" s="8">
        <v>23833</v>
      </c>
      <c r="C195" s="3">
        <f t="shared" si="20"/>
        <v>22282</v>
      </c>
      <c r="D195" s="9">
        <f t="shared" si="15"/>
        <v>6.9607755138676952E-2</v>
      </c>
      <c r="E195" s="8">
        <v>22563</v>
      </c>
      <c r="F195" s="3">
        <f t="shared" si="21"/>
        <v>21194</v>
      </c>
      <c r="G195" s="10">
        <f t="shared" si="16"/>
        <v>6.4593752948947813E-2</v>
      </c>
      <c r="H195" s="8">
        <f t="shared" si="14"/>
        <v>46396</v>
      </c>
      <c r="I195" s="5">
        <f t="shared" si="22"/>
        <v>43476</v>
      </c>
      <c r="J195" s="9">
        <f t="shared" si="17"/>
        <v>6.7163492501610078E-2</v>
      </c>
      <c r="K195" s="12">
        <f t="shared" si="18"/>
        <v>0.51368652470040521</v>
      </c>
      <c r="L195" s="12">
        <f t="shared" si="19"/>
        <v>0.48631347529959479</v>
      </c>
    </row>
    <row r="196" spans="1:12" ht="13.2" x14ac:dyDescent="0.25">
      <c r="A196" s="6">
        <v>40299</v>
      </c>
      <c r="B196" s="8">
        <v>20136</v>
      </c>
      <c r="C196" s="3">
        <f t="shared" si="20"/>
        <v>18456</v>
      </c>
      <c r="D196" s="9">
        <f t="shared" si="15"/>
        <v>9.1027308192457732E-2</v>
      </c>
      <c r="E196" s="8">
        <v>20647</v>
      </c>
      <c r="F196" s="3">
        <f t="shared" si="21"/>
        <v>19459</v>
      </c>
      <c r="G196" s="10">
        <f t="shared" si="16"/>
        <v>6.1051441492368567E-2</v>
      </c>
      <c r="H196" s="8">
        <f t="shared" si="14"/>
        <v>40783</v>
      </c>
      <c r="I196" s="5">
        <f t="shared" si="22"/>
        <v>37915</v>
      </c>
      <c r="J196" s="9">
        <f t="shared" si="17"/>
        <v>7.5642885401556115E-2</v>
      </c>
      <c r="K196" s="12">
        <f t="shared" si="18"/>
        <v>0.49373513473751318</v>
      </c>
      <c r="L196" s="12">
        <f t="shared" si="19"/>
        <v>0.50626486526248682</v>
      </c>
    </row>
    <row r="197" spans="1:12" ht="13.2" x14ac:dyDescent="0.25">
      <c r="A197" s="6">
        <v>40269</v>
      </c>
      <c r="B197" s="8">
        <v>19615</v>
      </c>
      <c r="C197" s="3">
        <f t="shared" si="20"/>
        <v>23635</v>
      </c>
      <c r="D197" s="9">
        <f t="shared" si="15"/>
        <v>0.17008673577321767</v>
      </c>
      <c r="E197" s="8">
        <v>21287</v>
      </c>
      <c r="F197" s="3">
        <f t="shared" si="21"/>
        <v>23871</v>
      </c>
      <c r="G197" s="10">
        <f t="shared" si="16"/>
        <v>0.1082485023668887</v>
      </c>
      <c r="H197" s="8">
        <f t="shared" ref="H197:H260" si="23">B197+E197</f>
        <v>40902</v>
      </c>
      <c r="I197" s="5">
        <f t="shared" si="22"/>
        <v>47506</v>
      </c>
      <c r="J197" s="9">
        <f t="shared" si="17"/>
        <v>0.13901401928177493</v>
      </c>
      <c r="K197" s="12">
        <f t="shared" si="18"/>
        <v>0.47956090166740012</v>
      </c>
      <c r="L197" s="12">
        <f t="shared" si="19"/>
        <v>0.52043909833259983</v>
      </c>
    </row>
    <row r="198" spans="1:12" ht="13.2" x14ac:dyDescent="0.25">
      <c r="A198" s="6">
        <v>40238</v>
      </c>
      <c r="B198" s="8">
        <v>22666</v>
      </c>
      <c r="C198" s="3">
        <f t="shared" si="20"/>
        <v>21288</v>
      </c>
      <c r="D198" s="9">
        <f t="shared" ref="D198:D260" si="24">ABS(B198-C198)/C198</f>
        <v>6.4731304021044725E-2</v>
      </c>
      <c r="E198" s="8">
        <v>21235</v>
      </c>
      <c r="F198" s="3">
        <f t="shared" si="21"/>
        <v>21427</v>
      </c>
      <c r="G198" s="10">
        <f t="shared" ref="G198:G260" si="25">ABS(E198-F198)/F198</f>
        <v>8.9606571148550893E-3</v>
      </c>
      <c r="H198" s="8">
        <f t="shared" si="23"/>
        <v>43901</v>
      </c>
      <c r="I198" s="5">
        <f t="shared" si="22"/>
        <v>42715</v>
      </c>
      <c r="J198" s="9">
        <f t="shared" ref="J198:J260" si="26">ABS(H198-I198)/I198</f>
        <v>2.7765421982909985E-2</v>
      </c>
      <c r="K198" s="12">
        <f t="shared" ref="K198:K261" si="27">B198/H198</f>
        <v>0.51629803421334364</v>
      </c>
      <c r="L198" s="12">
        <f t="shared" ref="L198:L261" si="28">E198/H198</f>
        <v>0.48370196578665636</v>
      </c>
    </row>
    <row r="199" spans="1:12" ht="13.2" x14ac:dyDescent="0.25">
      <c r="A199" s="6">
        <v>40210</v>
      </c>
      <c r="B199" s="8">
        <v>16998</v>
      </c>
      <c r="C199" s="3">
        <f t="shared" si="20"/>
        <v>18856</v>
      </c>
      <c r="D199" s="9">
        <f t="shared" si="24"/>
        <v>9.8536274925753078E-2</v>
      </c>
      <c r="E199" s="8">
        <v>16399</v>
      </c>
      <c r="F199" s="3">
        <f t="shared" si="21"/>
        <v>18725</v>
      </c>
      <c r="G199" s="10">
        <f t="shared" si="25"/>
        <v>0.12421895861148198</v>
      </c>
      <c r="H199" s="8">
        <f t="shared" si="23"/>
        <v>33397</v>
      </c>
      <c r="I199" s="5">
        <f t="shared" si="22"/>
        <v>37581</v>
      </c>
      <c r="J199" s="9">
        <f t="shared" si="26"/>
        <v>0.11133285436789868</v>
      </c>
      <c r="K199" s="12">
        <f t="shared" si="27"/>
        <v>0.50896787136569155</v>
      </c>
      <c r="L199" s="12">
        <f t="shared" si="28"/>
        <v>0.49103212863430845</v>
      </c>
    </row>
    <row r="200" spans="1:12" ht="13.2" x14ac:dyDescent="0.25">
      <c r="A200" s="6">
        <v>40179</v>
      </c>
      <c r="B200" s="8">
        <v>15389</v>
      </c>
      <c r="C200" s="3">
        <f t="shared" si="20"/>
        <v>16404</v>
      </c>
      <c r="D200" s="9">
        <f t="shared" si="24"/>
        <v>6.1875152401853206E-2</v>
      </c>
      <c r="E200" s="8">
        <v>14311</v>
      </c>
      <c r="F200" s="3">
        <f t="shared" si="21"/>
        <v>14550</v>
      </c>
      <c r="G200" s="10">
        <f t="shared" si="25"/>
        <v>1.6426116838487971E-2</v>
      </c>
      <c r="H200" s="8">
        <f t="shared" si="23"/>
        <v>29700</v>
      </c>
      <c r="I200" s="5">
        <f t="shared" si="22"/>
        <v>30954</v>
      </c>
      <c r="J200" s="9">
        <f t="shared" si="26"/>
        <v>4.0511727078891259E-2</v>
      </c>
      <c r="K200" s="12">
        <f t="shared" si="27"/>
        <v>0.51814814814814814</v>
      </c>
      <c r="L200" s="12">
        <f t="shared" si="28"/>
        <v>0.48185185185185186</v>
      </c>
    </row>
    <row r="201" spans="1:12" ht="13.2" x14ac:dyDescent="0.25">
      <c r="A201" s="6">
        <v>40148</v>
      </c>
      <c r="B201" s="8">
        <v>17258</v>
      </c>
      <c r="C201" s="3">
        <f t="shared" si="20"/>
        <v>18050</v>
      </c>
      <c r="D201" s="9">
        <f t="shared" si="24"/>
        <v>4.3878116343490307E-2</v>
      </c>
      <c r="E201" s="8">
        <v>19301</v>
      </c>
      <c r="F201" s="3">
        <f t="shared" si="21"/>
        <v>20069</v>
      </c>
      <c r="G201" s="10">
        <f t="shared" si="25"/>
        <v>3.8267975484578207E-2</v>
      </c>
      <c r="H201" s="8">
        <f t="shared" si="23"/>
        <v>36559</v>
      </c>
      <c r="I201" s="5">
        <f t="shared" si="22"/>
        <v>38119</v>
      </c>
      <c r="J201" s="9">
        <f t="shared" si="26"/>
        <v>4.0924473359741864E-2</v>
      </c>
      <c r="K201" s="12">
        <f t="shared" si="27"/>
        <v>0.47205886375447909</v>
      </c>
      <c r="L201" s="12">
        <f t="shared" si="28"/>
        <v>0.52794113624552097</v>
      </c>
    </row>
    <row r="202" spans="1:12" ht="13.2" x14ac:dyDescent="0.25">
      <c r="A202" s="6">
        <v>40118</v>
      </c>
      <c r="B202" s="8">
        <v>18490</v>
      </c>
      <c r="C202" s="3">
        <f t="shared" si="20"/>
        <v>19496</v>
      </c>
      <c r="D202" s="9">
        <f t="shared" si="24"/>
        <v>5.1600328272466148E-2</v>
      </c>
      <c r="E202" s="8">
        <v>18015</v>
      </c>
      <c r="F202" s="3">
        <f t="shared" si="21"/>
        <v>18767</v>
      </c>
      <c r="G202" s="10">
        <f t="shared" si="25"/>
        <v>4.0070336228486172E-2</v>
      </c>
      <c r="H202" s="8">
        <f t="shared" si="23"/>
        <v>36505</v>
      </c>
      <c r="I202" s="5">
        <f t="shared" si="22"/>
        <v>38263</v>
      </c>
      <c r="J202" s="9">
        <f t="shared" si="26"/>
        <v>4.5945168962182786E-2</v>
      </c>
      <c r="K202" s="12">
        <f t="shared" si="27"/>
        <v>0.50650595808793319</v>
      </c>
      <c r="L202" s="12">
        <f t="shared" si="28"/>
        <v>0.49349404191206686</v>
      </c>
    </row>
    <row r="203" spans="1:12" ht="13.2" x14ac:dyDescent="0.25">
      <c r="A203" s="6">
        <v>40087</v>
      </c>
      <c r="B203" s="8">
        <v>20508</v>
      </c>
      <c r="C203" s="3">
        <f t="shared" si="20"/>
        <v>22095</v>
      </c>
      <c r="D203" s="9">
        <f t="shared" si="24"/>
        <v>7.1826205023761025E-2</v>
      </c>
      <c r="E203" s="8">
        <v>19976</v>
      </c>
      <c r="F203" s="3">
        <f t="shared" si="21"/>
        <v>22234</v>
      </c>
      <c r="G203" s="10">
        <f t="shared" si="25"/>
        <v>0.10155617522712962</v>
      </c>
      <c r="H203" s="8">
        <f t="shared" si="23"/>
        <v>40484</v>
      </c>
      <c r="I203" s="5">
        <f t="shared" si="22"/>
        <v>44329</v>
      </c>
      <c r="J203" s="9">
        <f t="shared" si="26"/>
        <v>8.6737801439238427E-2</v>
      </c>
      <c r="K203" s="12">
        <f t="shared" si="27"/>
        <v>0.50657049698646384</v>
      </c>
      <c r="L203" s="12">
        <f t="shared" si="28"/>
        <v>0.49342950301353622</v>
      </c>
    </row>
    <row r="204" spans="1:12" ht="13.2" x14ac:dyDescent="0.25">
      <c r="A204" s="6">
        <v>40057</v>
      </c>
      <c r="B204" s="8">
        <v>23216</v>
      </c>
      <c r="C204" s="3">
        <f t="shared" si="20"/>
        <v>28061</v>
      </c>
      <c r="D204" s="9">
        <f t="shared" si="24"/>
        <v>0.17265956309468658</v>
      </c>
      <c r="E204" s="8">
        <v>25175</v>
      </c>
      <c r="F204" s="3">
        <f t="shared" si="21"/>
        <v>28898</v>
      </c>
      <c r="G204" s="10">
        <f t="shared" si="25"/>
        <v>0.12883244515191364</v>
      </c>
      <c r="H204" s="8">
        <f t="shared" si="23"/>
        <v>48391</v>
      </c>
      <c r="I204" s="5">
        <f t="shared" si="22"/>
        <v>56959</v>
      </c>
      <c r="J204" s="9">
        <f t="shared" si="26"/>
        <v>0.15042398918520339</v>
      </c>
      <c r="K204" s="12">
        <f t="shared" si="27"/>
        <v>0.47975863280362052</v>
      </c>
      <c r="L204" s="12">
        <f t="shared" si="28"/>
        <v>0.52024136719637948</v>
      </c>
    </row>
    <row r="205" spans="1:12" ht="13.2" x14ac:dyDescent="0.25">
      <c r="A205" s="6">
        <v>40026</v>
      </c>
      <c r="B205" s="8">
        <v>32101</v>
      </c>
      <c r="C205" s="3">
        <f t="shared" si="20"/>
        <v>38109</v>
      </c>
      <c r="D205" s="9">
        <f t="shared" si="24"/>
        <v>0.15765304783646908</v>
      </c>
      <c r="E205" s="8">
        <v>32517</v>
      </c>
      <c r="F205" s="3">
        <f t="shared" si="21"/>
        <v>38176</v>
      </c>
      <c r="G205" s="10">
        <f t="shared" si="25"/>
        <v>0.14823449287510479</v>
      </c>
      <c r="H205" s="8">
        <f t="shared" si="23"/>
        <v>64618</v>
      </c>
      <c r="I205" s="5">
        <f t="shared" si="22"/>
        <v>76285</v>
      </c>
      <c r="J205" s="9">
        <f t="shared" si="26"/>
        <v>0.15293963426623844</v>
      </c>
      <c r="K205" s="12">
        <f t="shared" si="27"/>
        <v>0.49678108267046334</v>
      </c>
      <c r="L205" s="12">
        <f t="shared" si="28"/>
        <v>0.50321891732953661</v>
      </c>
    </row>
    <row r="206" spans="1:12" ht="13.2" x14ac:dyDescent="0.25">
      <c r="A206" s="6">
        <v>39995</v>
      </c>
      <c r="B206" s="8">
        <v>31789</v>
      </c>
      <c r="C206" s="3">
        <f t="shared" si="20"/>
        <v>36411</v>
      </c>
      <c r="D206" s="9">
        <f t="shared" si="24"/>
        <v>0.1269396610914284</v>
      </c>
      <c r="E206" s="8">
        <v>30864</v>
      </c>
      <c r="F206" s="3">
        <f t="shared" si="21"/>
        <v>36613</v>
      </c>
      <c r="G206" s="10">
        <f t="shared" si="25"/>
        <v>0.15702073034168193</v>
      </c>
      <c r="H206" s="8">
        <f t="shared" si="23"/>
        <v>62653</v>
      </c>
      <c r="I206" s="5">
        <f t="shared" si="22"/>
        <v>73024</v>
      </c>
      <c r="J206" s="9">
        <f t="shared" si="26"/>
        <v>0.14202180105170903</v>
      </c>
      <c r="K206" s="12">
        <f t="shared" si="27"/>
        <v>0.50738192903771562</v>
      </c>
      <c r="L206" s="12">
        <f t="shared" si="28"/>
        <v>0.49261807096228433</v>
      </c>
    </row>
    <row r="207" spans="1:12" ht="13.2" x14ac:dyDescent="0.25">
      <c r="A207" s="6">
        <v>39965</v>
      </c>
      <c r="B207" s="8">
        <v>22282</v>
      </c>
      <c r="C207" s="3">
        <f t="shared" si="20"/>
        <v>27166</v>
      </c>
      <c r="D207" s="9">
        <f t="shared" si="24"/>
        <v>0.17978355297062504</v>
      </c>
      <c r="E207" s="8">
        <v>21194</v>
      </c>
      <c r="F207" s="3">
        <f t="shared" si="21"/>
        <v>26445</v>
      </c>
      <c r="G207" s="10">
        <f t="shared" si="25"/>
        <v>0.19856305539799585</v>
      </c>
      <c r="H207" s="8">
        <f t="shared" si="23"/>
        <v>43476</v>
      </c>
      <c r="I207" s="5">
        <f t="shared" si="22"/>
        <v>53611</v>
      </c>
      <c r="J207" s="9">
        <f t="shared" si="26"/>
        <v>0.18904702393165582</v>
      </c>
      <c r="K207" s="12">
        <f t="shared" si="27"/>
        <v>0.51251265065783425</v>
      </c>
      <c r="L207" s="12">
        <f t="shared" si="28"/>
        <v>0.48748734934216581</v>
      </c>
    </row>
    <row r="208" spans="1:12" ht="13.2" x14ac:dyDescent="0.25">
      <c r="A208" s="6">
        <v>39934</v>
      </c>
      <c r="B208" s="8">
        <v>18456</v>
      </c>
      <c r="C208" s="3">
        <f t="shared" si="20"/>
        <v>22012</v>
      </c>
      <c r="D208" s="9">
        <f t="shared" si="24"/>
        <v>0.16154824641104851</v>
      </c>
      <c r="E208" s="8">
        <v>19459</v>
      </c>
      <c r="F208" s="3">
        <f t="shared" si="21"/>
        <v>23559</v>
      </c>
      <c r="G208" s="10">
        <f t="shared" si="25"/>
        <v>0.1740311558215544</v>
      </c>
      <c r="H208" s="8">
        <f t="shared" si="23"/>
        <v>37915</v>
      </c>
      <c r="I208" s="5">
        <f t="shared" si="22"/>
        <v>45571</v>
      </c>
      <c r="J208" s="9">
        <f t="shared" si="26"/>
        <v>0.16800157995216256</v>
      </c>
      <c r="K208" s="12">
        <f t="shared" si="27"/>
        <v>0.48677304496900964</v>
      </c>
      <c r="L208" s="12">
        <f t="shared" si="28"/>
        <v>0.51322695503099036</v>
      </c>
    </row>
    <row r="209" spans="1:12" ht="13.2" x14ac:dyDescent="0.25">
      <c r="A209" s="6">
        <v>39904</v>
      </c>
      <c r="B209" s="8">
        <v>23635</v>
      </c>
      <c r="C209" s="3">
        <f t="shared" si="20"/>
        <v>24002</v>
      </c>
      <c r="D209" s="9">
        <f t="shared" si="24"/>
        <v>1.5290392467294392E-2</v>
      </c>
      <c r="E209" s="8">
        <v>23871</v>
      </c>
      <c r="F209" s="3">
        <f t="shared" si="21"/>
        <v>23673</v>
      </c>
      <c r="G209" s="10">
        <f t="shared" si="25"/>
        <v>8.3639589405652016E-3</v>
      </c>
      <c r="H209" s="8">
        <f t="shared" si="23"/>
        <v>47506</v>
      </c>
      <c r="I209" s="5">
        <f t="shared" si="22"/>
        <v>47675</v>
      </c>
      <c r="J209" s="9">
        <f t="shared" si="26"/>
        <v>3.5448348190875723E-3</v>
      </c>
      <c r="K209" s="12">
        <f t="shared" si="27"/>
        <v>0.49751610322906581</v>
      </c>
      <c r="L209" s="12">
        <f t="shared" si="28"/>
        <v>0.50248389677093419</v>
      </c>
    </row>
    <row r="210" spans="1:12" ht="13.2" x14ac:dyDescent="0.25">
      <c r="A210" s="6">
        <v>39873</v>
      </c>
      <c r="B210" s="8">
        <v>21288</v>
      </c>
      <c r="C210" s="3">
        <f t="shared" si="20"/>
        <v>27153</v>
      </c>
      <c r="D210" s="9">
        <f t="shared" si="24"/>
        <v>0.21599823223953155</v>
      </c>
      <c r="E210" s="8">
        <v>21427</v>
      </c>
      <c r="F210" s="3">
        <f t="shared" si="21"/>
        <v>27249</v>
      </c>
      <c r="G210" s="10">
        <f t="shared" si="25"/>
        <v>0.21365921685199457</v>
      </c>
      <c r="H210" s="8">
        <f t="shared" si="23"/>
        <v>42715</v>
      </c>
      <c r="I210" s="5">
        <f t="shared" si="22"/>
        <v>54402</v>
      </c>
      <c r="J210" s="9">
        <f t="shared" si="26"/>
        <v>0.21482666078452997</v>
      </c>
      <c r="K210" s="12">
        <f t="shared" si="27"/>
        <v>0.49837293690740958</v>
      </c>
      <c r="L210" s="12">
        <f t="shared" si="28"/>
        <v>0.50162706309259042</v>
      </c>
    </row>
    <row r="211" spans="1:12" ht="13.2" x14ac:dyDescent="0.25">
      <c r="A211" s="6">
        <v>39845</v>
      </c>
      <c r="B211" s="8">
        <v>18856</v>
      </c>
      <c r="C211" s="3">
        <f t="shared" si="20"/>
        <v>17375</v>
      </c>
      <c r="D211" s="9">
        <f t="shared" si="24"/>
        <v>8.5237410071942452E-2</v>
      </c>
      <c r="E211" s="8">
        <v>18725</v>
      </c>
      <c r="F211" s="3">
        <f t="shared" si="21"/>
        <v>17024</v>
      </c>
      <c r="G211" s="10">
        <f t="shared" si="25"/>
        <v>9.9917763157894732E-2</v>
      </c>
      <c r="H211" s="8">
        <f t="shared" si="23"/>
        <v>37581</v>
      </c>
      <c r="I211" s="5">
        <f t="shared" si="22"/>
        <v>34399</v>
      </c>
      <c r="J211" s="9">
        <f t="shared" si="26"/>
        <v>9.2502689031657898E-2</v>
      </c>
      <c r="K211" s="12">
        <f t="shared" si="27"/>
        <v>0.50174290199835025</v>
      </c>
      <c r="L211" s="12">
        <f t="shared" si="28"/>
        <v>0.49825709800164975</v>
      </c>
    </row>
    <row r="212" spans="1:12" ht="13.2" x14ac:dyDescent="0.25">
      <c r="A212" s="6">
        <v>39814</v>
      </c>
      <c r="B212" s="8">
        <v>16404</v>
      </c>
      <c r="C212" s="3">
        <f t="shared" si="20"/>
        <v>17146</v>
      </c>
      <c r="D212" s="9">
        <f t="shared" si="24"/>
        <v>4.3275399510089817E-2</v>
      </c>
      <c r="E212" s="8">
        <v>14550</v>
      </c>
      <c r="F212" s="3">
        <f t="shared" si="21"/>
        <v>15851</v>
      </c>
      <c r="G212" s="10">
        <f t="shared" si="25"/>
        <v>8.2076840577881519E-2</v>
      </c>
      <c r="H212" s="8">
        <f t="shared" si="23"/>
        <v>30954</v>
      </c>
      <c r="I212" s="5">
        <f t="shared" si="22"/>
        <v>32997</v>
      </c>
      <c r="J212" s="9">
        <f t="shared" si="26"/>
        <v>6.1914719519956363E-2</v>
      </c>
      <c r="K212" s="12">
        <f t="shared" si="27"/>
        <v>0.52994766427602247</v>
      </c>
      <c r="L212" s="12">
        <f t="shared" si="28"/>
        <v>0.47005233572397753</v>
      </c>
    </row>
    <row r="213" spans="1:12" ht="13.2" x14ac:dyDescent="0.25">
      <c r="A213" s="6">
        <v>39783</v>
      </c>
      <c r="B213" s="8">
        <v>18050</v>
      </c>
      <c r="C213" s="3">
        <f t="shared" si="20"/>
        <v>17985</v>
      </c>
      <c r="D213" s="9">
        <f t="shared" si="24"/>
        <v>3.6141228801779262E-3</v>
      </c>
      <c r="E213" s="8">
        <v>20069</v>
      </c>
      <c r="F213" s="3">
        <f t="shared" si="21"/>
        <v>19916</v>
      </c>
      <c r="G213" s="10">
        <f t="shared" si="25"/>
        <v>7.6822655151636875E-3</v>
      </c>
      <c r="H213" s="8">
        <f t="shared" si="23"/>
        <v>38119</v>
      </c>
      <c r="I213" s="5">
        <f t="shared" si="22"/>
        <v>37901</v>
      </c>
      <c r="J213" s="9">
        <f t="shared" si="26"/>
        <v>5.7518271285718053E-3</v>
      </c>
      <c r="K213" s="12">
        <f t="shared" si="27"/>
        <v>0.47351714368162856</v>
      </c>
      <c r="L213" s="12">
        <f t="shared" si="28"/>
        <v>0.52648285631837144</v>
      </c>
    </row>
    <row r="214" spans="1:12" ht="13.2" x14ac:dyDescent="0.25">
      <c r="A214" s="6">
        <v>39753</v>
      </c>
      <c r="B214" s="8">
        <v>19496</v>
      </c>
      <c r="C214" s="3">
        <f t="shared" si="20"/>
        <v>17215</v>
      </c>
      <c r="D214" s="9">
        <f t="shared" si="24"/>
        <v>0.13250072611094976</v>
      </c>
      <c r="E214" s="8">
        <v>18767</v>
      </c>
      <c r="F214" s="3">
        <f t="shared" si="21"/>
        <v>17271</v>
      </c>
      <c r="G214" s="10">
        <f t="shared" si="25"/>
        <v>8.661918823461294E-2</v>
      </c>
      <c r="H214" s="8">
        <f t="shared" si="23"/>
        <v>38263</v>
      </c>
      <c r="I214" s="5">
        <f t="shared" si="22"/>
        <v>34486</v>
      </c>
      <c r="J214" s="9">
        <f t="shared" si="26"/>
        <v>0.10952270486574261</v>
      </c>
      <c r="K214" s="12">
        <f t="shared" si="27"/>
        <v>0.50952617411075973</v>
      </c>
      <c r="L214" s="12">
        <f t="shared" si="28"/>
        <v>0.49047382588924027</v>
      </c>
    </row>
    <row r="215" spans="1:12" ht="13.2" x14ac:dyDescent="0.25">
      <c r="A215" s="6">
        <v>39722</v>
      </c>
      <c r="B215" s="8">
        <v>22095</v>
      </c>
      <c r="C215" s="3">
        <f t="shared" si="20"/>
        <v>20869</v>
      </c>
      <c r="D215" s="9">
        <f t="shared" si="24"/>
        <v>5.8747424409411088E-2</v>
      </c>
      <c r="E215" s="8">
        <v>22234</v>
      </c>
      <c r="F215" s="3">
        <f t="shared" si="21"/>
        <v>21380</v>
      </c>
      <c r="G215" s="10">
        <f t="shared" si="25"/>
        <v>3.9943872778297473E-2</v>
      </c>
      <c r="H215" s="8">
        <f t="shared" si="23"/>
        <v>44329</v>
      </c>
      <c r="I215" s="5">
        <f t="shared" si="22"/>
        <v>42249</v>
      </c>
      <c r="J215" s="9">
        <f t="shared" si="26"/>
        <v>4.9231934483656418E-2</v>
      </c>
      <c r="K215" s="12">
        <f t="shared" si="27"/>
        <v>0.49843217758126734</v>
      </c>
      <c r="L215" s="12">
        <f t="shared" si="28"/>
        <v>0.50156782241873266</v>
      </c>
    </row>
    <row r="216" spans="1:12" ht="13.2" x14ac:dyDescent="0.25">
      <c r="A216" s="6">
        <v>39692</v>
      </c>
      <c r="B216" s="8">
        <v>28061</v>
      </c>
      <c r="C216" s="3">
        <f t="shared" si="20"/>
        <v>23674</v>
      </c>
      <c r="D216" s="9">
        <f t="shared" si="24"/>
        <v>0.18530877756188224</v>
      </c>
      <c r="E216" s="8">
        <v>28898</v>
      </c>
      <c r="F216" s="3">
        <f t="shared" si="21"/>
        <v>25570</v>
      </c>
      <c r="G216" s="10">
        <f t="shared" si="25"/>
        <v>0.13015252248728978</v>
      </c>
      <c r="H216" s="8">
        <f t="shared" si="23"/>
        <v>56959</v>
      </c>
      <c r="I216" s="5">
        <f t="shared" si="22"/>
        <v>49244</v>
      </c>
      <c r="J216" s="9">
        <f t="shared" si="26"/>
        <v>0.15666883275119811</v>
      </c>
      <c r="K216" s="12">
        <f t="shared" si="27"/>
        <v>0.4926526097719412</v>
      </c>
      <c r="L216" s="12">
        <f t="shared" si="28"/>
        <v>0.50734739022805875</v>
      </c>
    </row>
    <row r="217" spans="1:12" ht="13.2" x14ac:dyDescent="0.25">
      <c r="A217" s="6">
        <v>39661</v>
      </c>
      <c r="B217" s="8">
        <v>38109</v>
      </c>
      <c r="C217" s="3">
        <f t="shared" si="20"/>
        <v>32199</v>
      </c>
      <c r="D217" s="9">
        <f t="shared" si="24"/>
        <v>0.18354607285940558</v>
      </c>
      <c r="E217" s="8">
        <v>38176</v>
      </c>
      <c r="F217" s="3">
        <f t="shared" si="21"/>
        <v>32267</v>
      </c>
      <c r="G217" s="10">
        <f t="shared" si="25"/>
        <v>0.18312827346824931</v>
      </c>
      <c r="H217" s="8">
        <f t="shared" si="23"/>
        <v>76285</v>
      </c>
      <c r="I217" s="5">
        <f t="shared" si="22"/>
        <v>64466</v>
      </c>
      <c r="J217" s="9">
        <f t="shared" si="26"/>
        <v>0.1833369528123352</v>
      </c>
      <c r="K217" s="12">
        <f t="shared" si="27"/>
        <v>0.49956085731139804</v>
      </c>
      <c r="L217" s="12">
        <f t="shared" si="28"/>
        <v>0.5004391426886019</v>
      </c>
    </row>
    <row r="218" spans="1:12" ht="13.2" x14ac:dyDescent="0.25">
      <c r="A218" s="6">
        <v>39630</v>
      </c>
      <c r="B218" s="8">
        <v>36411</v>
      </c>
      <c r="C218" s="3">
        <f t="shared" si="20"/>
        <v>30825</v>
      </c>
      <c r="D218" s="9">
        <f t="shared" si="24"/>
        <v>0.18121654501216544</v>
      </c>
      <c r="E218" s="8">
        <v>36613</v>
      </c>
      <c r="F218" s="3">
        <f t="shared" si="21"/>
        <v>29186</v>
      </c>
      <c r="G218" s="10">
        <f t="shared" si="25"/>
        <v>0.25447132186664839</v>
      </c>
      <c r="H218" s="8">
        <f t="shared" si="23"/>
        <v>73024</v>
      </c>
      <c r="I218" s="5">
        <f t="shared" si="22"/>
        <v>60011</v>
      </c>
      <c r="J218" s="9">
        <f t="shared" si="26"/>
        <v>0.21684357867724249</v>
      </c>
      <c r="K218" s="12">
        <f t="shared" si="27"/>
        <v>0.4986168930762489</v>
      </c>
      <c r="L218" s="12">
        <f t="shared" si="28"/>
        <v>0.5013831069237511</v>
      </c>
    </row>
    <row r="219" spans="1:12" ht="13.2" x14ac:dyDescent="0.25">
      <c r="A219" s="6">
        <v>39600</v>
      </c>
      <c r="B219" s="8">
        <v>27166</v>
      </c>
      <c r="C219" s="3">
        <f t="shared" si="20"/>
        <v>21952</v>
      </c>
      <c r="D219" s="9">
        <f t="shared" si="24"/>
        <v>0.23751822157434402</v>
      </c>
      <c r="E219" s="8">
        <v>26445</v>
      </c>
      <c r="F219" s="3">
        <f t="shared" si="21"/>
        <v>20239</v>
      </c>
      <c r="G219" s="10">
        <f t="shared" si="25"/>
        <v>0.30663570334502693</v>
      </c>
      <c r="H219" s="8">
        <f t="shared" si="23"/>
        <v>53611</v>
      </c>
      <c r="I219" s="5">
        <f t="shared" si="22"/>
        <v>42191</v>
      </c>
      <c r="J219" s="9">
        <f t="shared" si="26"/>
        <v>0.27067384039250075</v>
      </c>
      <c r="K219" s="12">
        <f t="shared" si="27"/>
        <v>0.50672436626811657</v>
      </c>
      <c r="L219" s="12">
        <f t="shared" si="28"/>
        <v>0.49327563373188338</v>
      </c>
    </row>
    <row r="220" spans="1:12" ht="13.2" x14ac:dyDescent="0.25">
      <c r="A220" s="6">
        <v>39569</v>
      </c>
      <c r="B220" s="8">
        <v>22012</v>
      </c>
      <c r="C220" s="3">
        <f t="shared" si="20"/>
        <v>16717</v>
      </c>
      <c r="D220" s="9">
        <f t="shared" si="24"/>
        <v>0.31674343482682299</v>
      </c>
      <c r="E220" s="8">
        <v>23559</v>
      </c>
      <c r="F220" s="3">
        <f t="shared" si="21"/>
        <v>17336</v>
      </c>
      <c r="G220" s="10">
        <f t="shared" si="25"/>
        <v>0.3589640055376096</v>
      </c>
      <c r="H220" s="8">
        <f t="shared" si="23"/>
        <v>45571</v>
      </c>
      <c r="I220" s="5">
        <f t="shared" si="22"/>
        <v>34053</v>
      </c>
      <c r="J220" s="9">
        <f t="shared" si="26"/>
        <v>0.33823745338149358</v>
      </c>
      <c r="K220" s="12">
        <f t="shared" si="27"/>
        <v>0.48302648614250293</v>
      </c>
      <c r="L220" s="12">
        <f t="shared" si="28"/>
        <v>0.51697351385749712</v>
      </c>
    </row>
    <row r="221" spans="1:12" ht="13.2" x14ac:dyDescent="0.25">
      <c r="A221" s="6">
        <v>39539</v>
      </c>
      <c r="B221" s="8">
        <v>24002</v>
      </c>
      <c r="C221" s="3">
        <f t="shared" si="20"/>
        <v>24770</v>
      </c>
      <c r="D221" s="9">
        <f t="shared" si="24"/>
        <v>3.1005248284214776E-2</v>
      </c>
      <c r="E221" s="8">
        <v>23673</v>
      </c>
      <c r="F221" s="3">
        <f t="shared" si="21"/>
        <v>25400</v>
      </c>
      <c r="G221" s="10">
        <f t="shared" si="25"/>
        <v>6.7992125984251972E-2</v>
      </c>
      <c r="H221" s="8">
        <f t="shared" si="23"/>
        <v>47675</v>
      </c>
      <c r="I221" s="5">
        <f t="shared" si="22"/>
        <v>50170</v>
      </c>
      <c r="J221" s="9">
        <f t="shared" si="26"/>
        <v>4.9730914889376122E-2</v>
      </c>
      <c r="K221" s="12">
        <f t="shared" si="27"/>
        <v>0.50345044572627162</v>
      </c>
      <c r="L221" s="12">
        <f t="shared" si="28"/>
        <v>0.49654955427372838</v>
      </c>
    </row>
    <row r="222" spans="1:12" ht="13.2" x14ac:dyDescent="0.25">
      <c r="A222" s="6">
        <v>39508</v>
      </c>
      <c r="B222" s="8">
        <v>27153</v>
      </c>
      <c r="C222" s="3">
        <f t="shared" si="20"/>
        <v>15126</v>
      </c>
      <c r="D222" s="9">
        <f t="shared" si="24"/>
        <v>0.79512098373661244</v>
      </c>
      <c r="E222" s="8">
        <v>27249</v>
      </c>
      <c r="F222" s="3">
        <f t="shared" si="21"/>
        <v>14948</v>
      </c>
      <c r="G222" s="10">
        <f t="shared" si="25"/>
        <v>0.82291945410757295</v>
      </c>
      <c r="H222" s="8">
        <f t="shared" si="23"/>
        <v>54402</v>
      </c>
      <c r="I222" s="5">
        <f t="shared" si="22"/>
        <v>30074</v>
      </c>
      <c r="J222" s="9">
        <f t="shared" si="26"/>
        <v>0.8089379530491454</v>
      </c>
      <c r="K222" s="12">
        <f t="shared" si="27"/>
        <v>0.4991176794970773</v>
      </c>
      <c r="L222" s="12">
        <f t="shared" si="28"/>
        <v>0.5008823205029227</v>
      </c>
    </row>
    <row r="223" spans="1:12" ht="13.2" x14ac:dyDescent="0.25">
      <c r="A223" s="6">
        <v>39479</v>
      </c>
      <c r="B223" s="8">
        <v>17375</v>
      </c>
      <c r="C223" s="3">
        <f t="shared" si="20"/>
        <v>19889</v>
      </c>
      <c r="D223" s="9">
        <f t="shared" si="24"/>
        <v>0.12640152848308109</v>
      </c>
      <c r="E223" s="8">
        <v>17024</v>
      </c>
      <c r="F223" s="3">
        <f t="shared" si="21"/>
        <v>19553</v>
      </c>
      <c r="G223" s="10">
        <f t="shared" si="25"/>
        <v>0.12934076612284559</v>
      </c>
      <c r="H223" s="8">
        <f t="shared" si="23"/>
        <v>34399</v>
      </c>
      <c r="I223" s="5">
        <f t="shared" si="22"/>
        <v>39442</v>
      </c>
      <c r="J223" s="9">
        <f t="shared" si="26"/>
        <v>0.12785862785862787</v>
      </c>
      <c r="K223" s="12">
        <f t="shared" si="27"/>
        <v>0.50510189249687487</v>
      </c>
      <c r="L223" s="12">
        <f t="shared" si="28"/>
        <v>0.49489810750312507</v>
      </c>
    </row>
    <row r="224" spans="1:12" ht="13.2" x14ac:dyDescent="0.25">
      <c r="A224" s="6">
        <v>39448</v>
      </c>
      <c r="B224" s="8">
        <v>17146</v>
      </c>
      <c r="C224" s="3">
        <f t="shared" si="20"/>
        <v>13204</v>
      </c>
      <c r="D224" s="9">
        <f t="shared" si="24"/>
        <v>0.29854589518327779</v>
      </c>
      <c r="E224" s="8">
        <v>15851</v>
      </c>
      <c r="F224" s="3">
        <f t="shared" si="21"/>
        <v>12161</v>
      </c>
      <c r="G224" s="10">
        <f t="shared" si="25"/>
        <v>0.30342899432612452</v>
      </c>
      <c r="H224" s="8">
        <f t="shared" si="23"/>
        <v>32997</v>
      </c>
      <c r="I224" s="5">
        <f t="shared" si="22"/>
        <v>25365</v>
      </c>
      <c r="J224" s="9">
        <f t="shared" si="26"/>
        <v>0.3008870490833826</v>
      </c>
      <c r="K224" s="12">
        <f t="shared" si="27"/>
        <v>0.51962299602994211</v>
      </c>
      <c r="L224" s="12">
        <f t="shared" si="28"/>
        <v>0.48037700397005789</v>
      </c>
    </row>
    <row r="225" spans="1:12" ht="13.2" x14ac:dyDescent="0.25">
      <c r="A225" s="6">
        <v>39417</v>
      </c>
      <c r="B225" s="8">
        <v>17985</v>
      </c>
      <c r="C225" s="3">
        <f t="shared" si="20"/>
        <v>15110</v>
      </c>
      <c r="D225" s="9">
        <f t="shared" si="24"/>
        <v>0.19027134348113831</v>
      </c>
      <c r="E225" s="8">
        <v>19916</v>
      </c>
      <c r="F225" s="3">
        <f t="shared" si="21"/>
        <v>17297</v>
      </c>
      <c r="G225" s="10">
        <f t="shared" si="25"/>
        <v>0.15141353992021739</v>
      </c>
      <c r="H225" s="8">
        <f t="shared" si="23"/>
        <v>37901</v>
      </c>
      <c r="I225" s="5">
        <f t="shared" si="22"/>
        <v>32407</v>
      </c>
      <c r="J225" s="9">
        <f t="shared" si="26"/>
        <v>0.16953127410744592</v>
      </c>
      <c r="K225" s="12">
        <f t="shared" si="27"/>
        <v>0.47452573810717397</v>
      </c>
      <c r="L225" s="12">
        <f t="shared" si="28"/>
        <v>0.52547426189282609</v>
      </c>
    </row>
    <row r="226" spans="1:12" ht="13.2" x14ac:dyDescent="0.25">
      <c r="A226" s="6">
        <v>39387</v>
      </c>
      <c r="B226" s="8">
        <v>17215</v>
      </c>
      <c r="C226" s="3">
        <f t="shared" si="20"/>
        <v>14341</v>
      </c>
      <c r="D226" s="9">
        <f t="shared" si="24"/>
        <v>0.20040443483718012</v>
      </c>
      <c r="E226" s="8">
        <v>17271</v>
      </c>
      <c r="F226" s="3">
        <f t="shared" si="21"/>
        <v>14098</v>
      </c>
      <c r="G226" s="10">
        <f t="shared" si="25"/>
        <v>0.22506738544474394</v>
      </c>
      <c r="H226" s="8">
        <f t="shared" si="23"/>
        <v>34486</v>
      </c>
      <c r="I226" s="5">
        <f t="shared" si="22"/>
        <v>28439</v>
      </c>
      <c r="J226" s="9">
        <f t="shared" si="26"/>
        <v>0.21263054256478778</v>
      </c>
      <c r="K226" s="12">
        <f t="shared" si="27"/>
        <v>0.49918807632082585</v>
      </c>
      <c r="L226" s="12">
        <f t="shared" si="28"/>
        <v>0.50081192367917415</v>
      </c>
    </row>
    <row r="227" spans="1:12" ht="13.2" x14ac:dyDescent="0.25">
      <c r="A227" s="6">
        <v>39356</v>
      </c>
      <c r="B227" s="8">
        <v>20869</v>
      </c>
      <c r="C227" s="3">
        <f t="shared" si="20"/>
        <v>17849</v>
      </c>
      <c r="D227" s="9">
        <f t="shared" si="24"/>
        <v>0.1691971539021794</v>
      </c>
      <c r="E227" s="8">
        <v>21380</v>
      </c>
      <c r="F227" s="3">
        <f t="shared" si="21"/>
        <v>18042</v>
      </c>
      <c r="G227" s="10">
        <f t="shared" si="25"/>
        <v>0.18501274803236892</v>
      </c>
      <c r="H227" s="8">
        <f t="shared" si="23"/>
        <v>42249</v>
      </c>
      <c r="I227" s="5">
        <f t="shared" si="22"/>
        <v>35891</v>
      </c>
      <c r="J227" s="9">
        <f t="shared" si="26"/>
        <v>0.17714747429717756</v>
      </c>
      <c r="K227" s="12">
        <f t="shared" si="27"/>
        <v>0.49395251958626241</v>
      </c>
      <c r="L227" s="12">
        <f t="shared" si="28"/>
        <v>0.50604748041373759</v>
      </c>
    </row>
    <row r="228" spans="1:12" ht="13.2" x14ac:dyDescent="0.25">
      <c r="A228" s="6">
        <v>39326</v>
      </c>
      <c r="B228" s="8">
        <v>23674</v>
      </c>
      <c r="C228" s="3">
        <f t="shared" si="20"/>
        <v>21302</v>
      </c>
      <c r="D228" s="9">
        <f t="shared" si="24"/>
        <v>0.11135104685006103</v>
      </c>
      <c r="E228" s="8">
        <v>25570</v>
      </c>
      <c r="F228" s="3">
        <f t="shared" si="21"/>
        <v>22229</v>
      </c>
      <c r="G228" s="10">
        <f t="shared" si="25"/>
        <v>0.15029915875657923</v>
      </c>
      <c r="H228" s="8">
        <f t="shared" si="23"/>
        <v>49244</v>
      </c>
      <c r="I228" s="5">
        <f t="shared" si="22"/>
        <v>43531</v>
      </c>
      <c r="J228" s="9">
        <f t="shared" si="26"/>
        <v>0.13123980611518229</v>
      </c>
      <c r="K228" s="12">
        <f t="shared" si="27"/>
        <v>0.48074892372674843</v>
      </c>
      <c r="L228" s="12">
        <f t="shared" si="28"/>
        <v>0.51925107627325151</v>
      </c>
    </row>
    <row r="229" spans="1:12" ht="13.2" x14ac:dyDescent="0.25">
      <c r="A229" s="6">
        <v>39295</v>
      </c>
      <c r="B229" s="8">
        <v>32199</v>
      </c>
      <c r="C229" s="3">
        <f t="shared" si="20"/>
        <v>28547</v>
      </c>
      <c r="D229" s="9">
        <f t="shared" si="24"/>
        <v>0.12792937961957473</v>
      </c>
      <c r="E229" s="8">
        <v>32267</v>
      </c>
      <c r="F229" s="3">
        <f t="shared" si="21"/>
        <v>28436</v>
      </c>
      <c r="G229" s="10">
        <f t="shared" si="25"/>
        <v>0.13472358981572655</v>
      </c>
      <c r="H229" s="8">
        <f t="shared" si="23"/>
        <v>64466</v>
      </c>
      <c r="I229" s="5">
        <f t="shared" si="22"/>
        <v>56983</v>
      </c>
      <c r="J229" s="9">
        <f t="shared" si="26"/>
        <v>0.13131986732885245</v>
      </c>
      <c r="K229" s="12">
        <f t="shared" si="27"/>
        <v>0.49947259020258739</v>
      </c>
      <c r="L229" s="12">
        <f t="shared" si="28"/>
        <v>0.50052740979741261</v>
      </c>
    </row>
    <row r="230" spans="1:12" ht="13.2" x14ac:dyDescent="0.25">
      <c r="A230" s="6">
        <v>39264</v>
      </c>
      <c r="B230" s="8">
        <v>30825</v>
      </c>
      <c r="C230" s="3">
        <f t="shared" si="20"/>
        <v>27651</v>
      </c>
      <c r="D230" s="9">
        <f t="shared" si="24"/>
        <v>0.11478789193880873</v>
      </c>
      <c r="E230" s="8">
        <v>29186</v>
      </c>
      <c r="F230" s="3">
        <f t="shared" si="21"/>
        <v>25676</v>
      </c>
      <c r="G230" s="10">
        <f t="shared" si="25"/>
        <v>0.13670353637638261</v>
      </c>
      <c r="H230" s="8">
        <f t="shared" si="23"/>
        <v>60011</v>
      </c>
      <c r="I230" s="5">
        <f t="shared" si="22"/>
        <v>53327</v>
      </c>
      <c r="J230" s="9">
        <f t="shared" si="26"/>
        <v>0.1253398841112382</v>
      </c>
      <c r="K230" s="12">
        <f t="shared" si="27"/>
        <v>0.51365582976454316</v>
      </c>
      <c r="L230" s="12">
        <f t="shared" si="28"/>
        <v>0.48634417023545684</v>
      </c>
    </row>
    <row r="231" spans="1:12" ht="13.2" x14ac:dyDescent="0.25">
      <c r="A231" s="6">
        <v>39234</v>
      </c>
      <c r="B231" s="8">
        <v>21952</v>
      </c>
      <c r="C231" s="3">
        <f t="shared" si="20"/>
        <v>16040</v>
      </c>
      <c r="D231" s="9">
        <f t="shared" si="24"/>
        <v>0.36857855361596009</v>
      </c>
      <c r="E231" s="8">
        <v>20239</v>
      </c>
      <c r="F231" s="3">
        <f t="shared" si="21"/>
        <v>14628</v>
      </c>
      <c r="G231" s="10">
        <f t="shared" si="25"/>
        <v>0.38357943669674599</v>
      </c>
      <c r="H231" s="8">
        <f t="shared" si="23"/>
        <v>42191</v>
      </c>
      <c r="I231" s="5">
        <f t="shared" si="22"/>
        <v>30668</v>
      </c>
      <c r="J231" s="9">
        <f t="shared" si="26"/>
        <v>0.37573366375374984</v>
      </c>
      <c r="K231" s="12">
        <f t="shared" si="27"/>
        <v>0.52030053802943754</v>
      </c>
      <c r="L231" s="12">
        <f t="shared" si="28"/>
        <v>0.47969946197056246</v>
      </c>
    </row>
    <row r="232" spans="1:12" ht="13.2" x14ac:dyDescent="0.25">
      <c r="A232" s="6">
        <v>39203</v>
      </c>
      <c r="B232" s="8">
        <v>16717</v>
      </c>
      <c r="C232" s="3">
        <f t="shared" si="20"/>
        <v>15035</v>
      </c>
      <c r="D232" s="9">
        <f t="shared" si="24"/>
        <v>0.11187229797140007</v>
      </c>
      <c r="E232" s="8">
        <v>17336</v>
      </c>
      <c r="F232" s="3">
        <f t="shared" si="21"/>
        <v>16556</v>
      </c>
      <c r="G232" s="10">
        <f t="shared" si="25"/>
        <v>4.7112829185793667E-2</v>
      </c>
      <c r="H232" s="8">
        <f t="shared" si="23"/>
        <v>34053</v>
      </c>
      <c r="I232" s="5">
        <f t="shared" si="22"/>
        <v>31591</v>
      </c>
      <c r="J232" s="9">
        <f t="shared" si="26"/>
        <v>7.793358868032034E-2</v>
      </c>
      <c r="K232" s="12">
        <f t="shared" si="27"/>
        <v>0.49091122661733183</v>
      </c>
      <c r="L232" s="12">
        <f t="shared" si="28"/>
        <v>0.50908877338266822</v>
      </c>
    </row>
    <row r="233" spans="1:12" ht="13.2" x14ac:dyDescent="0.25">
      <c r="A233" s="6">
        <v>39173</v>
      </c>
      <c r="B233" s="8">
        <v>24770</v>
      </c>
      <c r="C233" s="3">
        <f t="shared" si="20"/>
        <v>19047</v>
      </c>
      <c r="D233" s="9">
        <f t="shared" si="24"/>
        <v>0.30046726518611855</v>
      </c>
      <c r="E233" s="8">
        <v>25400</v>
      </c>
      <c r="F233" s="3">
        <f t="shared" si="21"/>
        <v>18847</v>
      </c>
      <c r="G233" s="10">
        <f t="shared" si="25"/>
        <v>0.34769459330397412</v>
      </c>
      <c r="H233" s="8">
        <f t="shared" si="23"/>
        <v>50170</v>
      </c>
      <c r="I233" s="5">
        <f t="shared" si="22"/>
        <v>37894</v>
      </c>
      <c r="J233" s="9">
        <f t="shared" si="26"/>
        <v>0.32395629915026125</v>
      </c>
      <c r="K233" s="12">
        <f t="shared" si="27"/>
        <v>0.49372134741877616</v>
      </c>
      <c r="L233" s="12">
        <f t="shared" si="28"/>
        <v>0.50627865258122384</v>
      </c>
    </row>
    <row r="234" spans="1:12" ht="13.2" x14ac:dyDescent="0.25">
      <c r="A234" s="6">
        <v>39142</v>
      </c>
      <c r="B234" s="8">
        <v>15126</v>
      </c>
      <c r="C234" s="3">
        <f t="shared" si="20"/>
        <v>15826</v>
      </c>
      <c r="D234" s="9">
        <f t="shared" si="24"/>
        <v>4.423101225830911E-2</v>
      </c>
      <c r="E234" s="8">
        <v>14948</v>
      </c>
      <c r="F234" s="3">
        <f t="shared" si="21"/>
        <v>15653</v>
      </c>
      <c r="G234" s="10">
        <f t="shared" si="25"/>
        <v>4.5039289593049259E-2</v>
      </c>
      <c r="H234" s="8">
        <f t="shared" si="23"/>
        <v>30074</v>
      </c>
      <c r="I234" s="5">
        <f t="shared" si="22"/>
        <v>31479</v>
      </c>
      <c r="J234" s="9">
        <f t="shared" si="26"/>
        <v>4.4632929889767782E-2</v>
      </c>
      <c r="K234" s="12">
        <f t="shared" si="27"/>
        <v>0.50295936689499232</v>
      </c>
      <c r="L234" s="12">
        <f t="shared" si="28"/>
        <v>0.49704063310500762</v>
      </c>
    </row>
    <row r="235" spans="1:12" ht="13.2" x14ac:dyDescent="0.25">
      <c r="A235" s="6">
        <v>39114</v>
      </c>
      <c r="B235" s="8">
        <v>19889</v>
      </c>
      <c r="C235" s="3">
        <f t="shared" si="20"/>
        <v>12931</v>
      </c>
      <c r="D235" s="9">
        <f t="shared" si="24"/>
        <v>0.53808676823138191</v>
      </c>
      <c r="E235" s="8">
        <v>19553</v>
      </c>
      <c r="F235" s="3">
        <f t="shared" si="21"/>
        <v>12327</v>
      </c>
      <c r="G235" s="10">
        <f t="shared" si="25"/>
        <v>0.58619290987263728</v>
      </c>
      <c r="H235" s="8">
        <f t="shared" si="23"/>
        <v>39442</v>
      </c>
      <c r="I235" s="5">
        <f t="shared" si="22"/>
        <v>25258</v>
      </c>
      <c r="J235" s="9">
        <f t="shared" si="26"/>
        <v>0.56156465278327661</v>
      </c>
      <c r="K235" s="12">
        <f t="shared" si="27"/>
        <v>0.50425941889356518</v>
      </c>
      <c r="L235" s="12">
        <f t="shared" si="28"/>
        <v>0.49574058110643476</v>
      </c>
    </row>
    <row r="236" spans="1:12" ht="13.2" x14ac:dyDescent="0.25">
      <c r="A236" s="6">
        <v>39083</v>
      </c>
      <c r="B236" s="8">
        <v>13204</v>
      </c>
      <c r="C236" s="3">
        <f t="shared" si="20"/>
        <v>11898</v>
      </c>
      <c r="D236" s="9">
        <f t="shared" si="24"/>
        <v>0.10976634728525803</v>
      </c>
      <c r="E236" s="8">
        <v>12161</v>
      </c>
      <c r="F236" s="3">
        <f t="shared" si="21"/>
        <v>10193</v>
      </c>
      <c r="G236" s="10">
        <f t="shared" si="25"/>
        <v>0.19307367801432357</v>
      </c>
      <c r="H236" s="8">
        <f t="shared" si="23"/>
        <v>25365</v>
      </c>
      <c r="I236" s="5">
        <f t="shared" si="22"/>
        <v>22091</v>
      </c>
      <c r="J236" s="9">
        <f t="shared" si="26"/>
        <v>0.14820515141912996</v>
      </c>
      <c r="K236" s="12">
        <f t="shared" si="27"/>
        <v>0.52055982653262367</v>
      </c>
      <c r="L236" s="12">
        <f t="shared" si="28"/>
        <v>0.47944017346737633</v>
      </c>
    </row>
    <row r="237" spans="1:12" ht="13.2" x14ac:dyDescent="0.25">
      <c r="A237" s="6">
        <v>39052</v>
      </c>
      <c r="B237" s="8">
        <v>15110</v>
      </c>
      <c r="C237" s="3">
        <f t="shared" si="20"/>
        <v>16236</v>
      </c>
      <c r="D237" s="9">
        <f t="shared" si="24"/>
        <v>6.935205715693521E-2</v>
      </c>
      <c r="E237" s="8">
        <v>17297</v>
      </c>
      <c r="F237" s="3">
        <f t="shared" si="21"/>
        <v>17683</v>
      </c>
      <c r="G237" s="10">
        <f t="shared" si="25"/>
        <v>2.1828875190861279E-2</v>
      </c>
      <c r="H237" s="8">
        <f t="shared" si="23"/>
        <v>32407</v>
      </c>
      <c r="I237" s="5">
        <f t="shared" si="22"/>
        <v>33919</v>
      </c>
      <c r="J237" s="9">
        <f t="shared" si="26"/>
        <v>4.4576785872225008E-2</v>
      </c>
      <c r="K237" s="12">
        <f t="shared" si="27"/>
        <v>0.46625729009164685</v>
      </c>
      <c r="L237" s="12">
        <f t="shared" si="28"/>
        <v>0.53374270990835315</v>
      </c>
    </row>
    <row r="238" spans="1:12" ht="13.2" x14ac:dyDescent="0.25">
      <c r="A238" s="6">
        <v>39022</v>
      </c>
      <c r="B238" s="8">
        <v>14341</v>
      </c>
      <c r="C238" s="3">
        <f t="shared" si="20"/>
        <v>16559</v>
      </c>
      <c r="D238" s="9">
        <f t="shared" si="24"/>
        <v>0.13394528655112023</v>
      </c>
      <c r="E238" s="8">
        <v>14098</v>
      </c>
      <c r="F238" s="3">
        <f t="shared" si="21"/>
        <v>15869</v>
      </c>
      <c r="G238" s="10">
        <f t="shared" si="25"/>
        <v>0.11160123511248346</v>
      </c>
      <c r="H238" s="8">
        <f t="shared" si="23"/>
        <v>28439</v>
      </c>
      <c r="I238" s="5">
        <f t="shared" si="22"/>
        <v>32428</v>
      </c>
      <c r="J238" s="9">
        <f t="shared" si="26"/>
        <v>0.12301097816701616</v>
      </c>
      <c r="K238" s="12">
        <f t="shared" si="27"/>
        <v>0.5042723021203277</v>
      </c>
      <c r="L238" s="12">
        <f t="shared" si="28"/>
        <v>0.4957276978796723</v>
      </c>
    </row>
    <row r="239" spans="1:12" ht="13.2" x14ac:dyDescent="0.25">
      <c r="A239" s="6">
        <v>38991</v>
      </c>
      <c r="B239" s="8">
        <v>17849</v>
      </c>
      <c r="C239" s="3">
        <f t="shared" si="20"/>
        <v>18212</v>
      </c>
      <c r="D239" s="9">
        <f t="shared" si="24"/>
        <v>1.9931913024379529E-2</v>
      </c>
      <c r="E239" s="8">
        <v>18042</v>
      </c>
      <c r="F239" s="3">
        <f t="shared" si="21"/>
        <v>17650</v>
      </c>
      <c r="G239" s="10">
        <f t="shared" si="25"/>
        <v>2.2209631728045326E-2</v>
      </c>
      <c r="H239" s="8">
        <f t="shared" si="23"/>
        <v>35891</v>
      </c>
      <c r="I239" s="5">
        <f t="shared" si="22"/>
        <v>35862</v>
      </c>
      <c r="J239" s="9">
        <f t="shared" si="26"/>
        <v>8.0865540126038703E-4</v>
      </c>
      <c r="K239" s="12">
        <f t="shared" si="27"/>
        <v>0.49731130366944359</v>
      </c>
      <c r="L239" s="12">
        <f t="shared" si="28"/>
        <v>0.50268869633055646</v>
      </c>
    </row>
    <row r="240" spans="1:12" ht="13.2" x14ac:dyDescent="0.25">
      <c r="A240" s="6">
        <v>38961</v>
      </c>
      <c r="B240" s="8">
        <v>21302</v>
      </c>
      <c r="C240" s="3">
        <f t="shared" si="20"/>
        <v>23388</v>
      </c>
      <c r="D240" s="9">
        <f t="shared" si="24"/>
        <v>8.9191038139216694E-2</v>
      </c>
      <c r="E240" s="8">
        <v>22229</v>
      </c>
      <c r="F240" s="3">
        <f t="shared" si="21"/>
        <v>24819</v>
      </c>
      <c r="G240" s="10">
        <f t="shared" si="25"/>
        <v>0.1043555340666425</v>
      </c>
      <c r="H240" s="8">
        <f t="shared" si="23"/>
        <v>43531</v>
      </c>
      <c r="I240" s="5">
        <f t="shared" si="22"/>
        <v>48207</v>
      </c>
      <c r="J240" s="9">
        <f t="shared" si="26"/>
        <v>9.6998361233845712E-2</v>
      </c>
      <c r="K240" s="12">
        <f t="shared" si="27"/>
        <v>0.48935241551997427</v>
      </c>
      <c r="L240" s="12">
        <f t="shared" si="28"/>
        <v>0.51064758448002567</v>
      </c>
    </row>
    <row r="241" spans="1:12" ht="13.2" x14ac:dyDescent="0.25">
      <c r="A241" s="6">
        <v>38930</v>
      </c>
      <c r="B241" s="8">
        <v>28547</v>
      </c>
      <c r="C241" s="3">
        <f t="shared" si="20"/>
        <v>33735</v>
      </c>
      <c r="D241" s="9">
        <f t="shared" si="24"/>
        <v>0.1537868682377353</v>
      </c>
      <c r="E241" s="8">
        <v>28436</v>
      </c>
      <c r="F241" s="3">
        <f t="shared" si="21"/>
        <v>33743</v>
      </c>
      <c r="G241" s="10">
        <f t="shared" si="25"/>
        <v>0.15727706487271434</v>
      </c>
      <c r="H241" s="8">
        <f t="shared" si="23"/>
        <v>56983</v>
      </c>
      <c r="I241" s="5">
        <f t="shared" si="22"/>
        <v>67478</v>
      </c>
      <c r="J241" s="9">
        <f t="shared" si="26"/>
        <v>0.15553217344912415</v>
      </c>
      <c r="K241" s="12">
        <f t="shared" si="27"/>
        <v>0.50097397469420701</v>
      </c>
      <c r="L241" s="12">
        <f t="shared" si="28"/>
        <v>0.49902602530579293</v>
      </c>
    </row>
    <row r="242" spans="1:12" ht="13.2" x14ac:dyDescent="0.25">
      <c r="A242" s="6">
        <v>38899</v>
      </c>
      <c r="B242" s="8">
        <v>27651</v>
      </c>
      <c r="C242" s="3">
        <f t="shared" si="20"/>
        <v>29435</v>
      </c>
      <c r="D242" s="9">
        <f t="shared" si="24"/>
        <v>6.0608119585527434E-2</v>
      </c>
      <c r="E242" s="8">
        <v>25676</v>
      </c>
      <c r="F242" s="3">
        <f t="shared" si="21"/>
        <v>27530</v>
      </c>
      <c r="G242" s="10">
        <f t="shared" si="25"/>
        <v>6.734471485652016E-2</v>
      </c>
      <c r="H242" s="8">
        <f t="shared" si="23"/>
        <v>53327</v>
      </c>
      <c r="I242" s="5">
        <f t="shared" si="22"/>
        <v>56965</v>
      </c>
      <c r="J242" s="9">
        <f t="shared" si="26"/>
        <v>6.3863776002808736E-2</v>
      </c>
      <c r="K242" s="12">
        <f t="shared" si="27"/>
        <v>0.51851782399159896</v>
      </c>
      <c r="L242" s="12">
        <f t="shared" si="28"/>
        <v>0.48148217600840099</v>
      </c>
    </row>
    <row r="243" spans="1:12" ht="13.2" x14ac:dyDescent="0.25">
      <c r="A243" s="6">
        <v>38869</v>
      </c>
      <c r="B243" s="8">
        <v>16040</v>
      </c>
      <c r="C243" s="3">
        <f t="shared" si="20"/>
        <v>15156</v>
      </c>
      <c r="D243" s="9">
        <f t="shared" si="24"/>
        <v>5.8326735286355236E-2</v>
      </c>
      <c r="E243" s="8">
        <v>14628</v>
      </c>
      <c r="F243" s="3">
        <f t="shared" si="21"/>
        <v>13806</v>
      </c>
      <c r="G243" s="10">
        <f t="shared" si="25"/>
        <v>5.9539330725771403E-2</v>
      </c>
      <c r="H243" s="8">
        <f t="shared" si="23"/>
        <v>30668</v>
      </c>
      <c r="I243" s="5">
        <f t="shared" si="22"/>
        <v>28962</v>
      </c>
      <c r="J243" s="9">
        <f t="shared" si="26"/>
        <v>5.8904771769905391E-2</v>
      </c>
      <c r="K243" s="12">
        <f t="shared" si="27"/>
        <v>0.52302073822877271</v>
      </c>
      <c r="L243" s="12">
        <f t="shared" si="28"/>
        <v>0.47697926177122735</v>
      </c>
    </row>
    <row r="244" spans="1:12" ht="13.2" x14ac:dyDescent="0.25">
      <c r="A244" s="6">
        <v>38838</v>
      </c>
      <c r="B244" s="8">
        <v>15035</v>
      </c>
      <c r="C244" s="3">
        <f t="shared" si="20"/>
        <v>12650</v>
      </c>
      <c r="D244" s="9">
        <f t="shared" si="24"/>
        <v>0.18853754940711462</v>
      </c>
      <c r="E244" s="8">
        <v>16556</v>
      </c>
      <c r="F244" s="3">
        <f t="shared" si="21"/>
        <v>13448</v>
      </c>
      <c r="G244" s="10">
        <f t="shared" si="25"/>
        <v>0.23111243307555027</v>
      </c>
      <c r="H244" s="8">
        <f t="shared" si="23"/>
        <v>31591</v>
      </c>
      <c r="I244" s="5">
        <f t="shared" si="22"/>
        <v>26098</v>
      </c>
      <c r="J244" s="9">
        <f t="shared" si="26"/>
        <v>0.21047589853628632</v>
      </c>
      <c r="K244" s="12">
        <f t="shared" si="27"/>
        <v>0.47592668798075399</v>
      </c>
      <c r="L244" s="12">
        <f t="shared" si="28"/>
        <v>0.52407331201924601</v>
      </c>
    </row>
    <row r="245" spans="1:12" ht="13.2" x14ac:dyDescent="0.25">
      <c r="A245" s="6">
        <v>38808</v>
      </c>
      <c r="B245" s="8">
        <v>19047</v>
      </c>
      <c r="C245" s="3">
        <f t="shared" si="20"/>
        <v>13888</v>
      </c>
      <c r="D245" s="9">
        <f t="shared" si="24"/>
        <v>0.37147177419354838</v>
      </c>
      <c r="E245" s="8">
        <v>18847</v>
      </c>
      <c r="F245" s="3">
        <f t="shared" si="21"/>
        <v>13981</v>
      </c>
      <c r="G245" s="10">
        <f t="shared" si="25"/>
        <v>0.34804377369286887</v>
      </c>
      <c r="H245" s="8">
        <f t="shared" si="23"/>
        <v>37894</v>
      </c>
      <c r="I245" s="5">
        <f t="shared" si="22"/>
        <v>27869</v>
      </c>
      <c r="J245" s="9">
        <f t="shared" si="26"/>
        <v>0.35971868384226202</v>
      </c>
      <c r="K245" s="12">
        <f t="shared" si="27"/>
        <v>0.50263894020161504</v>
      </c>
      <c r="L245" s="12">
        <f t="shared" si="28"/>
        <v>0.49736105979838496</v>
      </c>
    </row>
    <row r="246" spans="1:12" ht="13.2" x14ac:dyDescent="0.25">
      <c r="A246" s="6">
        <v>38777</v>
      </c>
      <c r="B246" s="8">
        <v>15826</v>
      </c>
      <c r="C246" s="3">
        <f t="shared" si="20"/>
        <v>19326</v>
      </c>
      <c r="D246" s="9">
        <f t="shared" si="24"/>
        <v>0.18110317706716342</v>
      </c>
      <c r="E246" s="8">
        <v>15653</v>
      </c>
      <c r="F246" s="3">
        <f t="shared" si="21"/>
        <v>18561</v>
      </c>
      <c r="G246" s="10">
        <f t="shared" si="25"/>
        <v>0.156672593071494</v>
      </c>
      <c r="H246" s="8">
        <f t="shared" si="23"/>
        <v>31479</v>
      </c>
      <c r="I246" s="5">
        <f t="shared" si="22"/>
        <v>37887</v>
      </c>
      <c r="J246" s="9">
        <f t="shared" si="26"/>
        <v>0.16913453163354183</v>
      </c>
      <c r="K246" s="12">
        <f t="shared" si="27"/>
        <v>0.50274786365513513</v>
      </c>
      <c r="L246" s="12">
        <f t="shared" si="28"/>
        <v>0.49725213634486481</v>
      </c>
    </row>
    <row r="247" spans="1:12" ht="13.2" x14ac:dyDescent="0.25">
      <c r="A247" s="6">
        <v>38749</v>
      </c>
      <c r="B247" s="8">
        <v>12931</v>
      </c>
      <c r="C247" s="3">
        <f t="shared" si="20"/>
        <v>8665</v>
      </c>
      <c r="D247" s="9">
        <f t="shared" si="24"/>
        <v>0.49232544720138488</v>
      </c>
      <c r="E247" s="8">
        <v>12327</v>
      </c>
      <c r="F247" s="3">
        <f t="shared" si="21"/>
        <v>8182</v>
      </c>
      <c r="G247" s="10">
        <f t="shared" si="25"/>
        <v>0.50659985333659252</v>
      </c>
      <c r="H247" s="8">
        <f t="shared" si="23"/>
        <v>25258</v>
      </c>
      <c r="I247" s="5">
        <f t="shared" si="22"/>
        <v>16847</v>
      </c>
      <c r="J247" s="9">
        <f t="shared" si="26"/>
        <v>0.49925802813557307</v>
      </c>
      <c r="K247" s="12">
        <f t="shared" si="27"/>
        <v>0.51195660780742736</v>
      </c>
      <c r="L247" s="12">
        <f t="shared" si="28"/>
        <v>0.48804339219257264</v>
      </c>
    </row>
    <row r="248" spans="1:12" ht="13.2" x14ac:dyDescent="0.25">
      <c r="A248" s="6">
        <v>38718</v>
      </c>
      <c r="B248" s="8">
        <v>11898</v>
      </c>
      <c r="C248" s="3">
        <f t="shared" si="20"/>
        <v>6817</v>
      </c>
      <c r="D248" s="9">
        <f t="shared" si="24"/>
        <v>0.74534252603784656</v>
      </c>
      <c r="E248" s="8">
        <v>10193</v>
      </c>
      <c r="F248" s="3">
        <f t="shared" si="21"/>
        <v>6251</v>
      </c>
      <c r="G248" s="10">
        <f t="shared" si="25"/>
        <v>0.63061910094384899</v>
      </c>
      <c r="H248" s="8">
        <f t="shared" si="23"/>
        <v>22091</v>
      </c>
      <c r="I248" s="5">
        <f t="shared" si="22"/>
        <v>13068</v>
      </c>
      <c r="J248" s="9">
        <f t="shared" si="26"/>
        <v>0.69046525864707686</v>
      </c>
      <c r="K248" s="12">
        <f t="shared" si="27"/>
        <v>0.53859037617129146</v>
      </c>
      <c r="L248" s="12">
        <f t="shared" si="28"/>
        <v>0.46140962382870854</v>
      </c>
    </row>
    <row r="249" spans="1:12" ht="13.2" x14ac:dyDescent="0.25">
      <c r="A249" s="6">
        <v>38687</v>
      </c>
      <c r="B249" s="8">
        <v>16236</v>
      </c>
      <c r="C249" s="3">
        <f t="shared" si="20"/>
        <v>10752</v>
      </c>
      <c r="D249" s="9">
        <f t="shared" si="24"/>
        <v>0.5100446428571429</v>
      </c>
      <c r="E249" s="8">
        <v>17683</v>
      </c>
      <c r="F249" s="3">
        <f t="shared" si="21"/>
        <v>11819</v>
      </c>
      <c r="G249" s="10">
        <f t="shared" si="25"/>
        <v>0.49615026652001015</v>
      </c>
      <c r="H249" s="8">
        <f t="shared" si="23"/>
        <v>33919</v>
      </c>
      <c r="I249" s="5">
        <f t="shared" si="22"/>
        <v>22571</v>
      </c>
      <c r="J249" s="9">
        <f t="shared" si="26"/>
        <v>0.50276903991847943</v>
      </c>
      <c r="K249" s="12">
        <f t="shared" si="27"/>
        <v>0.47866977210413042</v>
      </c>
      <c r="L249" s="12">
        <f t="shared" si="28"/>
        <v>0.52133022789586958</v>
      </c>
    </row>
    <row r="250" spans="1:12" ht="13.2" x14ac:dyDescent="0.25">
      <c r="A250" s="6">
        <v>38657</v>
      </c>
      <c r="B250" s="8">
        <v>16559</v>
      </c>
      <c r="C250" s="3">
        <f t="shared" ref="C250:C260" si="29">B262</f>
        <v>5277</v>
      </c>
      <c r="D250" s="9">
        <f t="shared" si="24"/>
        <v>2.1379571726359674</v>
      </c>
      <c r="E250" s="8">
        <v>15869</v>
      </c>
      <c r="F250" s="3">
        <f t="shared" ref="F250:F260" si="30">E262</f>
        <v>5708</v>
      </c>
      <c r="G250" s="10">
        <f t="shared" si="25"/>
        <v>1.7801331464611072</v>
      </c>
      <c r="H250" s="8">
        <f t="shared" si="23"/>
        <v>32428</v>
      </c>
      <c r="I250" s="5">
        <f t="shared" ref="I250:I260" si="31">H262</f>
        <v>10985</v>
      </c>
      <c r="J250" s="9">
        <f t="shared" si="26"/>
        <v>1.9520254893035958</v>
      </c>
      <c r="K250" s="12">
        <f t="shared" si="27"/>
        <v>0.51063895399037873</v>
      </c>
      <c r="L250" s="12">
        <f t="shared" si="28"/>
        <v>0.48936104600962133</v>
      </c>
    </row>
    <row r="251" spans="1:12" ht="13.2" x14ac:dyDescent="0.25">
      <c r="A251" s="6">
        <v>38626</v>
      </c>
      <c r="B251" s="8">
        <v>18212</v>
      </c>
      <c r="C251" s="3">
        <f t="shared" si="29"/>
        <v>8745</v>
      </c>
      <c r="D251" s="9">
        <f t="shared" si="24"/>
        <v>1.0825614636935392</v>
      </c>
      <c r="E251" s="8">
        <v>17650</v>
      </c>
      <c r="F251" s="3">
        <f t="shared" si="30"/>
        <v>9059</v>
      </c>
      <c r="G251" s="10">
        <f t="shared" si="25"/>
        <v>0.9483386687272326</v>
      </c>
      <c r="H251" s="8">
        <f t="shared" si="23"/>
        <v>35862</v>
      </c>
      <c r="I251" s="5">
        <f t="shared" si="31"/>
        <v>17804</v>
      </c>
      <c r="J251" s="9">
        <f t="shared" si="26"/>
        <v>1.0142664569759605</v>
      </c>
      <c r="K251" s="12">
        <f t="shared" si="27"/>
        <v>0.50783559199152306</v>
      </c>
      <c r="L251" s="12">
        <f t="shared" si="28"/>
        <v>0.49216440800847694</v>
      </c>
    </row>
    <row r="252" spans="1:12" ht="13.2" x14ac:dyDescent="0.25">
      <c r="A252" s="6">
        <v>38596</v>
      </c>
      <c r="B252" s="8">
        <v>23388</v>
      </c>
      <c r="C252" s="3">
        <f t="shared" si="29"/>
        <v>10355</v>
      </c>
      <c r="D252" s="9">
        <f t="shared" si="24"/>
        <v>1.2586190246257847</v>
      </c>
      <c r="E252" s="8">
        <v>24819</v>
      </c>
      <c r="F252" s="3">
        <f t="shared" si="30"/>
        <v>11568</v>
      </c>
      <c r="G252" s="10">
        <f t="shared" si="25"/>
        <v>1.1454875518672198</v>
      </c>
      <c r="H252" s="8">
        <f t="shared" si="23"/>
        <v>48207</v>
      </c>
      <c r="I252" s="5">
        <f t="shared" si="31"/>
        <v>21923</v>
      </c>
      <c r="J252" s="9">
        <f t="shared" si="26"/>
        <v>1.1989235049947544</v>
      </c>
      <c r="K252" s="12">
        <f t="shared" si="27"/>
        <v>0.48515775717219489</v>
      </c>
      <c r="L252" s="12">
        <f t="shared" si="28"/>
        <v>0.51484224282780511</v>
      </c>
    </row>
    <row r="253" spans="1:12" ht="13.2" x14ac:dyDescent="0.25">
      <c r="A253" s="6">
        <v>38565</v>
      </c>
      <c r="B253" s="8">
        <v>33735</v>
      </c>
      <c r="C253" s="3">
        <f t="shared" si="29"/>
        <v>13716</v>
      </c>
      <c r="D253" s="9">
        <f t="shared" si="24"/>
        <v>1.4595363079615049</v>
      </c>
      <c r="E253" s="8">
        <v>33743</v>
      </c>
      <c r="F253" s="3">
        <f t="shared" si="30"/>
        <v>14184</v>
      </c>
      <c r="G253" s="10">
        <f t="shared" si="25"/>
        <v>1.3789481105470953</v>
      </c>
      <c r="H253" s="8">
        <f t="shared" si="23"/>
        <v>67478</v>
      </c>
      <c r="I253" s="5">
        <f t="shared" si="31"/>
        <v>27900</v>
      </c>
      <c r="J253" s="9">
        <f t="shared" si="26"/>
        <v>1.4185663082437276</v>
      </c>
      <c r="K253" s="12">
        <f t="shared" si="27"/>
        <v>0.49994072142031476</v>
      </c>
      <c r="L253" s="12">
        <f t="shared" si="28"/>
        <v>0.50005927857968524</v>
      </c>
    </row>
    <row r="254" spans="1:12" ht="13.2" x14ac:dyDescent="0.25">
      <c r="A254" s="6">
        <v>38534</v>
      </c>
      <c r="B254" s="8">
        <v>29435</v>
      </c>
      <c r="C254" s="3">
        <f t="shared" si="29"/>
        <v>11564</v>
      </c>
      <c r="D254" s="9">
        <f t="shared" si="24"/>
        <v>1.5453995157384988</v>
      </c>
      <c r="E254" s="8">
        <v>27530</v>
      </c>
      <c r="F254" s="3">
        <f t="shared" si="30"/>
        <v>9995</v>
      </c>
      <c r="G254" s="10">
        <f t="shared" si="25"/>
        <v>1.7543771885942971</v>
      </c>
      <c r="H254" s="8">
        <f t="shared" si="23"/>
        <v>56965</v>
      </c>
      <c r="I254" s="5">
        <f t="shared" si="31"/>
        <v>21559</v>
      </c>
      <c r="J254" s="9">
        <f t="shared" si="26"/>
        <v>1.6422839649334384</v>
      </c>
      <c r="K254" s="12">
        <f t="shared" si="27"/>
        <v>0.51672079346967437</v>
      </c>
      <c r="L254" s="12">
        <f t="shared" si="28"/>
        <v>0.48327920653032563</v>
      </c>
    </row>
    <row r="255" spans="1:12" ht="13.2" x14ac:dyDescent="0.25">
      <c r="A255" s="6">
        <v>38504</v>
      </c>
      <c r="B255" s="8">
        <v>15156</v>
      </c>
      <c r="C255" s="3">
        <f t="shared" si="29"/>
        <v>7249</v>
      </c>
      <c r="D255" s="9">
        <f t="shared" si="24"/>
        <v>1.0907711408470133</v>
      </c>
      <c r="E255" s="8">
        <v>13806</v>
      </c>
      <c r="F255" s="3">
        <f t="shared" si="30"/>
        <v>7231</v>
      </c>
      <c r="G255" s="10">
        <f t="shared" si="25"/>
        <v>0.90927949108007189</v>
      </c>
      <c r="H255" s="8">
        <f t="shared" si="23"/>
        <v>28962</v>
      </c>
      <c r="I255" s="5">
        <f t="shared" si="31"/>
        <v>14480</v>
      </c>
      <c r="J255" s="9">
        <f t="shared" si="26"/>
        <v>1.0001381215469614</v>
      </c>
      <c r="K255" s="12">
        <f t="shared" si="27"/>
        <v>0.52330640149160967</v>
      </c>
      <c r="L255" s="12">
        <f t="shared" si="28"/>
        <v>0.47669359850839033</v>
      </c>
    </row>
    <row r="256" spans="1:12" ht="13.2" x14ac:dyDescent="0.25">
      <c r="A256" s="6">
        <v>38473</v>
      </c>
      <c r="B256" s="8">
        <v>12650</v>
      </c>
      <c r="C256" s="3">
        <f t="shared" si="29"/>
        <v>5098</v>
      </c>
      <c r="D256" s="9">
        <f t="shared" si="24"/>
        <v>1.4813652412710867</v>
      </c>
      <c r="E256" s="8">
        <v>13448</v>
      </c>
      <c r="F256" s="3">
        <f t="shared" si="30"/>
        <v>5427</v>
      </c>
      <c r="G256" s="10">
        <f t="shared" si="25"/>
        <v>1.4779804680302193</v>
      </c>
      <c r="H256" s="8">
        <f t="shared" si="23"/>
        <v>26098</v>
      </c>
      <c r="I256" s="5">
        <f t="shared" si="31"/>
        <v>10525</v>
      </c>
      <c r="J256" s="9">
        <f t="shared" si="26"/>
        <v>1.4796199524940619</v>
      </c>
      <c r="K256" s="12">
        <f t="shared" si="27"/>
        <v>0.48471147214345928</v>
      </c>
      <c r="L256" s="12">
        <f t="shared" si="28"/>
        <v>0.51528852785654078</v>
      </c>
    </row>
    <row r="257" spans="1:12" ht="13.2" x14ac:dyDescent="0.25">
      <c r="A257" s="6">
        <v>38443</v>
      </c>
      <c r="B257" s="8">
        <v>13888</v>
      </c>
      <c r="C257" s="3">
        <f t="shared" si="29"/>
        <v>10843</v>
      </c>
      <c r="D257" s="9">
        <f t="shared" si="24"/>
        <v>0.28082633957391867</v>
      </c>
      <c r="E257" s="8">
        <v>13981</v>
      </c>
      <c r="F257" s="3">
        <f t="shared" si="30"/>
        <v>11579</v>
      </c>
      <c r="G257" s="10">
        <f t="shared" si="25"/>
        <v>0.20744451161585628</v>
      </c>
      <c r="H257" s="8">
        <f t="shared" si="23"/>
        <v>27869</v>
      </c>
      <c r="I257" s="5">
        <f t="shared" si="31"/>
        <v>22422</v>
      </c>
      <c r="J257" s="9">
        <f t="shared" si="26"/>
        <v>0.24293104986174294</v>
      </c>
      <c r="K257" s="12">
        <f t="shared" si="27"/>
        <v>0.49833147942157952</v>
      </c>
      <c r="L257" s="12">
        <f t="shared" si="28"/>
        <v>0.50166852057842048</v>
      </c>
    </row>
    <row r="258" spans="1:12" ht="13.2" x14ac:dyDescent="0.25">
      <c r="A258" s="6">
        <v>38412</v>
      </c>
      <c r="B258" s="8">
        <v>19326</v>
      </c>
      <c r="C258" s="3">
        <f t="shared" si="29"/>
        <v>8889</v>
      </c>
      <c r="D258" s="9">
        <f t="shared" si="24"/>
        <v>1.1741478231522107</v>
      </c>
      <c r="E258" s="8">
        <v>18561</v>
      </c>
      <c r="F258" s="3">
        <f t="shared" si="30"/>
        <v>7830</v>
      </c>
      <c r="G258" s="10">
        <f t="shared" si="25"/>
        <v>1.3704980842911878</v>
      </c>
      <c r="H258" s="8">
        <f t="shared" si="23"/>
        <v>37887</v>
      </c>
      <c r="I258" s="5">
        <f t="shared" si="31"/>
        <v>16719</v>
      </c>
      <c r="J258" s="9">
        <f t="shared" si="26"/>
        <v>1.2661044320832586</v>
      </c>
      <c r="K258" s="12">
        <f t="shared" si="27"/>
        <v>0.51009581122812575</v>
      </c>
      <c r="L258" s="12">
        <f t="shared" si="28"/>
        <v>0.48990418877187425</v>
      </c>
    </row>
    <row r="259" spans="1:12" ht="13.2" x14ac:dyDescent="0.25">
      <c r="A259" s="6">
        <v>38384</v>
      </c>
      <c r="B259" s="8">
        <v>8665</v>
      </c>
      <c r="C259" s="3">
        <f t="shared" si="29"/>
        <v>5904</v>
      </c>
      <c r="D259" s="9">
        <f t="shared" si="24"/>
        <v>0.46764905149051489</v>
      </c>
      <c r="E259" s="8">
        <v>8182</v>
      </c>
      <c r="F259" s="3">
        <f t="shared" si="30"/>
        <v>6264</v>
      </c>
      <c r="G259" s="10">
        <f t="shared" si="25"/>
        <v>0.30619412515964239</v>
      </c>
      <c r="H259" s="8">
        <f t="shared" si="23"/>
        <v>16847</v>
      </c>
      <c r="I259" s="5">
        <f t="shared" si="31"/>
        <v>12168</v>
      </c>
      <c r="J259" s="9">
        <f t="shared" si="26"/>
        <v>0.38453320184089412</v>
      </c>
      <c r="K259" s="12">
        <f t="shared" si="27"/>
        <v>0.51433489642072772</v>
      </c>
      <c r="L259" s="12">
        <f t="shared" si="28"/>
        <v>0.48566510357927228</v>
      </c>
    </row>
    <row r="260" spans="1:12" ht="13.2" x14ac:dyDescent="0.25">
      <c r="A260" s="6">
        <v>38353</v>
      </c>
      <c r="B260" s="8">
        <v>6817</v>
      </c>
      <c r="C260" s="3">
        <f t="shared" si="29"/>
        <v>5643</v>
      </c>
      <c r="D260" s="9">
        <f t="shared" si="24"/>
        <v>0.20804536594010278</v>
      </c>
      <c r="E260" s="8">
        <v>6251</v>
      </c>
      <c r="F260" s="3">
        <f t="shared" si="30"/>
        <v>4859</v>
      </c>
      <c r="G260" s="10">
        <f t="shared" si="25"/>
        <v>0.28647869932084791</v>
      </c>
      <c r="H260" s="8">
        <f t="shared" si="23"/>
        <v>13068</v>
      </c>
      <c r="I260" s="5">
        <f t="shared" si="31"/>
        <v>10502</v>
      </c>
      <c r="J260" s="9">
        <f t="shared" si="26"/>
        <v>0.2443344124928585</v>
      </c>
      <c r="K260" s="12">
        <f t="shared" si="27"/>
        <v>0.52165595347413529</v>
      </c>
      <c r="L260" s="12">
        <f t="shared" si="28"/>
        <v>0.47834404652586471</v>
      </c>
    </row>
    <row r="261" spans="1:12" ht="13.2" x14ac:dyDescent="0.25">
      <c r="A261" s="6">
        <v>38322</v>
      </c>
      <c r="B261" s="8">
        <v>10752</v>
      </c>
      <c r="E261" s="8">
        <v>11819</v>
      </c>
      <c r="H261" s="8">
        <f t="shared" ref="H261:H272" si="32">B261+E261</f>
        <v>22571</v>
      </c>
      <c r="K261" s="12">
        <f t="shared" si="27"/>
        <v>0.47636347525585931</v>
      </c>
      <c r="L261" s="12">
        <f t="shared" si="28"/>
        <v>0.52363652474414069</v>
      </c>
    </row>
    <row r="262" spans="1:12" ht="13.2" x14ac:dyDescent="0.25">
      <c r="A262" s="6">
        <v>38292</v>
      </c>
      <c r="B262" s="8">
        <v>5277</v>
      </c>
      <c r="E262" s="8">
        <v>5708</v>
      </c>
      <c r="H262" s="8">
        <f t="shared" si="32"/>
        <v>10985</v>
      </c>
      <c r="K262" s="12">
        <f t="shared" ref="K262:K272" si="33">B262/H262</f>
        <v>0.48038233955393717</v>
      </c>
      <c r="L262" s="12">
        <f t="shared" ref="L262:L272" si="34">E262/H262</f>
        <v>0.51961766044606283</v>
      </c>
    </row>
    <row r="263" spans="1:12" ht="13.2" x14ac:dyDescent="0.25">
      <c r="A263" s="6">
        <v>38261</v>
      </c>
      <c r="B263" s="8">
        <v>8745</v>
      </c>
      <c r="E263" s="8">
        <v>9059</v>
      </c>
      <c r="H263" s="8">
        <f t="shared" si="32"/>
        <v>17804</v>
      </c>
      <c r="K263" s="12">
        <f t="shared" si="33"/>
        <v>0.49118175690855986</v>
      </c>
      <c r="L263" s="12">
        <f t="shared" si="34"/>
        <v>0.50881824309144008</v>
      </c>
    </row>
    <row r="264" spans="1:12" ht="13.2" x14ac:dyDescent="0.25">
      <c r="A264" s="6">
        <v>38231</v>
      </c>
      <c r="B264" s="8">
        <v>10355</v>
      </c>
      <c r="E264" s="8">
        <v>11568</v>
      </c>
      <c r="H264" s="8">
        <f t="shared" si="32"/>
        <v>21923</v>
      </c>
      <c r="K264" s="12">
        <f t="shared" si="33"/>
        <v>0.47233499064909001</v>
      </c>
      <c r="L264" s="12">
        <f t="shared" si="34"/>
        <v>0.52766500935090999</v>
      </c>
    </row>
    <row r="265" spans="1:12" ht="13.2" x14ac:dyDescent="0.25">
      <c r="A265" s="6">
        <v>38200</v>
      </c>
      <c r="B265" s="8">
        <v>13716</v>
      </c>
      <c r="E265" s="8">
        <v>14184</v>
      </c>
      <c r="H265" s="8">
        <f t="shared" si="32"/>
        <v>27900</v>
      </c>
      <c r="K265" s="12">
        <f t="shared" si="33"/>
        <v>0.49161290322580647</v>
      </c>
      <c r="L265" s="12">
        <f t="shared" si="34"/>
        <v>0.50838709677419358</v>
      </c>
    </row>
    <row r="266" spans="1:12" ht="13.2" x14ac:dyDescent="0.25">
      <c r="A266" s="6">
        <v>38169</v>
      </c>
      <c r="B266" s="8">
        <v>11564</v>
      </c>
      <c r="E266" s="8">
        <v>9995</v>
      </c>
      <c r="H266" s="8">
        <f t="shared" si="32"/>
        <v>21559</v>
      </c>
      <c r="K266" s="12">
        <f t="shared" si="33"/>
        <v>0.53638851523725595</v>
      </c>
      <c r="L266" s="12">
        <f t="shared" si="34"/>
        <v>0.46361148476274411</v>
      </c>
    </row>
    <row r="267" spans="1:12" ht="13.2" x14ac:dyDescent="0.25">
      <c r="A267" s="6">
        <v>38139</v>
      </c>
      <c r="B267" s="8">
        <v>7249</v>
      </c>
      <c r="E267" s="8">
        <v>7231</v>
      </c>
      <c r="H267" s="8">
        <f t="shared" si="32"/>
        <v>14480</v>
      </c>
      <c r="K267" s="12">
        <f t="shared" si="33"/>
        <v>0.50062154696132599</v>
      </c>
      <c r="L267" s="12">
        <f t="shared" si="34"/>
        <v>0.49937845303867401</v>
      </c>
    </row>
    <row r="268" spans="1:12" ht="13.2" x14ac:dyDescent="0.25">
      <c r="A268" s="6">
        <v>38108</v>
      </c>
      <c r="B268" s="8">
        <v>5098</v>
      </c>
      <c r="E268" s="8">
        <v>5427</v>
      </c>
      <c r="H268" s="8">
        <f t="shared" si="32"/>
        <v>10525</v>
      </c>
      <c r="K268" s="12">
        <f t="shared" si="33"/>
        <v>0.4843705463182898</v>
      </c>
      <c r="L268" s="12">
        <f t="shared" si="34"/>
        <v>0.5156294536817102</v>
      </c>
    </row>
    <row r="269" spans="1:12" ht="13.2" x14ac:dyDescent="0.25">
      <c r="A269" s="6">
        <v>38078</v>
      </c>
      <c r="B269" s="8">
        <v>10843</v>
      </c>
      <c r="E269" s="8">
        <v>11579</v>
      </c>
      <c r="H269" s="8">
        <f t="shared" si="32"/>
        <v>22422</v>
      </c>
      <c r="K269" s="12">
        <f t="shared" si="33"/>
        <v>0.48358754794398356</v>
      </c>
      <c r="L269" s="12">
        <f t="shared" si="34"/>
        <v>0.51641245205601638</v>
      </c>
    </row>
    <row r="270" spans="1:12" ht="13.2" x14ac:dyDescent="0.25">
      <c r="A270" s="6">
        <v>38047</v>
      </c>
      <c r="B270" s="8">
        <v>8889</v>
      </c>
      <c r="E270" s="8">
        <v>7830</v>
      </c>
      <c r="H270" s="8">
        <f t="shared" si="32"/>
        <v>16719</v>
      </c>
      <c r="K270" s="12">
        <f t="shared" si="33"/>
        <v>0.53167055445899869</v>
      </c>
      <c r="L270" s="12">
        <f t="shared" si="34"/>
        <v>0.46832944554100125</v>
      </c>
    </row>
    <row r="271" spans="1:12" ht="13.2" x14ac:dyDescent="0.25">
      <c r="A271" s="6">
        <v>38018</v>
      </c>
      <c r="B271" s="8">
        <v>5904</v>
      </c>
      <c r="E271" s="8">
        <v>6264</v>
      </c>
      <c r="H271" s="8">
        <f t="shared" si="32"/>
        <v>12168</v>
      </c>
      <c r="K271" s="12">
        <f t="shared" si="33"/>
        <v>0.48520710059171596</v>
      </c>
      <c r="L271" s="12">
        <f t="shared" si="34"/>
        <v>0.51479289940828399</v>
      </c>
    </row>
    <row r="272" spans="1:12" ht="13.2" x14ac:dyDescent="0.25">
      <c r="A272" s="6">
        <v>37987</v>
      </c>
      <c r="B272" s="8">
        <v>5643</v>
      </c>
      <c r="E272" s="8">
        <v>4859</v>
      </c>
      <c r="H272" s="8">
        <f t="shared" si="32"/>
        <v>10502</v>
      </c>
      <c r="K272" s="12">
        <f t="shared" si="33"/>
        <v>0.53732622357646165</v>
      </c>
      <c r="L272" s="12">
        <f t="shared" si="34"/>
        <v>0.46267377642353835</v>
      </c>
    </row>
  </sheetData>
  <mergeCells count="3">
    <mergeCell ref="E3:G3"/>
    <mergeCell ref="B3:D3"/>
    <mergeCell ref="H3:J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FFF5-3E2E-424C-9B70-7F31EB0BF2AB}">
  <sheetPr>
    <outlinePr summaryBelow="0"/>
  </sheetPr>
  <dimension ref="A1:AX272"/>
  <sheetViews>
    <sheetView showGridLines="0" zoomScaleNormal="100" workbookViewId="0">
      <selection activeCell="G4" activeCellId="1" sqref="A4:C248 G4:G248"/>
    </sheetView>
  </sheetViews>
  <sheetFormatPr baseColWidth="10" defaultColWidth="9.109375" defaultRowHeight="12.75" customHeight="1" x14ac:dyDescent="0.25"/>
  <cols>
    <col min="1" max="1" width="11.88671875" bestFit="1" customWidth="1"/>
    <col min="4" max="4" width="7.44140625" bestFit="1" customWidth="1"/>
    <col min="5" max="5" width="12.109375" bestFit="1" customWidth="1"/>
    <col min="8" max="8" width="10.5546875" customWidth="1"/>
    <col min="9" max="9" width="13.109375" customWidth="1"/>
    <col min="10" max="10" width="13.6640625" customWidth="1"/>
    <col min="13" max="13" width="24.6640625" customWidth="1"/>
    <col min="14" max="14" width="29.6640625" customWidth="1"/>
    <col min="15" max="15" width="25.6640625" customWidth="1"/>
  </cols>
  <sheetData>
    <row r="1" spans="1:15" ht="13.2" x14ac:dyDescent="0.25">
      <c r="D1" s="1"/>
      <c r="H1" t="s">
        <v>1</v>
      </c>
    </row>
    <row r="3" spans="1:15" ht="13.2" x14ac:dyDescent="0.25">
      <c r="D3" s="7"/>
      <c r="E3" s="11"/>
      <c r="F3" s="11"/>
      <c r="G3" s="7"/>
      <c r="M3" s="13"/>
    </row>
    <row r="4" spans="1:15" ht="25.2" customHeight="1" x14ac:dyDescent="0.25">
      <c r="A4" s="14" t="s">
        <v>80</v>
      </c>
      <c r="B4" s="14" t="s">
        <v>79</v>
      </c>
      <c r="C4" s="14" t="s">
        <v>81</v>
      </c>
      <c r="D4" s="7" t="s">
        <v>113</v>
      </c>
      <c r="E4" s="7" t="s">
        <v>3</v>
      </c>
      <c r="F4" s="7" t="s">
        <v>4</v>
      </c>
      <c r="G4" s="7" t="s">
        <v>114</v>
      </c>
      <c r="H4" t="s">
        <v>10</v>
      </c>
      <c r="I4" t="s">
        <v>11</v>
      </c>
      <c r="J4" s="15" t="s">
        <v>111</v>
      </c>
      <c r="K4" s="15" t="s">
        <v>110</v>
      </c>
      <c r="L4" s="15" t="s">
        <v>112</v>
      </c>
      <c r="M4" s="13" t="s">
        <v>115</v>
      </c>
      <c r="N4" s="13" t="s">
        <v>116</v>
      </c>
      <c r="O4" s="13" t="s">
        <v>117</v>
      </c>
    </row>
    <row r="5" spans="1:15" ht="13.2" x14ac:dyDescent="0.25">
      <c r="A5" s="14">
        <v>26</v>
      </c>
      <c r="B5" s="14" t="s">
        <v>82</v>
      </c>
      <c r="C5" s="14" t="s">
        <v>107</v>
      </c>
      <c r="D5" s="2" t="s">
        <v>12</v>
      </c>
      <c r="E5" s="3">
        <v>31159</v>
      </c>
      <c r="F5" s="3">
        <v>31904</v>
      </c>
      <c r="G5" s="5">
        <v>63063</v>
      </c>
      <c r="H5" s="12">
        <f t="shared" ref="H5:H68" si="0">E5/G5</f>
        <v>0.49409320837892268</v>
      </c>
      <c r="I5" s="12">
        <f t="shared" ref="I5:I68" si="1">F5/G5</f>
        <v>0.50590679162107732</v>
      </c>
    </row>
    <row r="6" spans="1:15" ht="13.2" x14ac:dyDescent="0.25">
      <c r="A6" s="14">
        <v>26</v>
      </c>
      <c r="B6" s="14" t="s">
        <v>83</v>
      </c>
      <c r="C6" s="14" t="s">
        <v>106</v>
      </c>
      <c r="D6" s="2" t="s">
        <v>13</v>
      </c>
      <c r="E6" s="3">
        <v>27450</v>
      </c>
      <c r="F6" s="3">
        <v>26383</v>
      </c>
      <c r="G6" s="5">
        <v>53833</v>
      </c>
      <c r="H6" s="12">
        <f t="shared" si="0"/>
        <v>0.50991027808221723</v>
      </c>
      <c r="I6" s="12">
        <f t="shared" si="1"/>
        <v>0.49008972191778277</v>
      </c>
    </row>
    <row r="7" spans="1:15" ht="13.2" x14ac:dyDescent="0.25">
      <c r="A7" s="14">
        <v>26</v>
      </c>
      <c r="B7" s="14" t="s">
        <v>84</v>
      </c>
      <c r="C7" s="14" t="s">
        <v>106</v>
      </c>
      <c r="D7" s="2" t="s">
        <v>14</v>
      </c>
      <c r="E7" s="3">
        <v>21719</v>
      </c>
      <c r="F7" s="3">
        <v>21766</v>
      </c>
      <c r="G7" s="5">
        <v>43485</v>
      </c>
      <c r="H7" s="12">
        <f t="shared" si="0"/>
        <v>0.49945958376451649</v>
      </c>
      <c r="I7" s="12">
        <f t="shared" si="1"/>
        <v>0.50054041623548351</v>
      </c>
    </row>
    <row r="8" spans="1:15" ht="13.2" x14ac:dyDescent="0.25">
      <c r="A8" s="14">
        <v>26</v>
      </c>
      <c r="B8" s="14" t="s">
        <v>85</v>
      </c>
      <c r="C8" s="14" t="s">
        <v>106</v>
      </c>
      <c r="D8" s="2" t="s">
        <v>15</v>
      </c>
      <c r="E8" s="3">
        <v>23695</v>
      </c>
      <c r="F8" s="3">
        <v>22640</v>
      </c>
      <c r="G8" s="5">
        <v>46335</v>
      </c>
      <c r="H8" s="12">
        <f t="shared" si="0"/>
        <v>0.5113844825725693</v>
      </c>
      <c r="I8" s="12">
        <f t="shared" si="1"/>
        <v>0.48861551742743065</v>
      </c>
    </row>
    <row r="9" spans="1:15" ht="13.2" x14ac:dyDescent="0.25">
      <c r="A9" s="14">
        <v>25</v>
      </c>
      <c r="B9" s="14" t="s">
        <v>86</v>
      </c>
      <c r="C9" s="14" t="s">
        <v>109</v>
      </c>
      <c r="D9" s="2" t="s">
        <v>16</v>
      </c>
      <c r="E9" s="3">
        <v>25076</v>
      </c>
      <c r="F9" s="3">
        <v>26116</v>
      </c>
      <c r="G9" s="5">
        <v>51192</v>
      </c>
      <c r="H9" s="12">
        <f t="shared" si="0"/>
        <v>0.48984216283794341</v>
      </c>
      <c r="I9" s="12">
        <f t="shared" si="1"/>
        <v>0.51015783716205654</v>
      </c>
    </row>
    <row r="10" spans="1:15" ht="13.2" x14ac:dyDescent="0.25">
      <c r="A10" s="14">
        <v>25</v>
      </c>
      <c r="B10" s="14" t="s">
        <v>87</v>
      </c>
      <c r="C10" s="14" t="s">
        <v>109</v>
      </c>
      <c r="D10" s="2" t="s">
        <v>17</v>
      </c>
      <c r="E10" s="3">
        <v>24038</v>
      </c>
      <c r="F10" s="3">
        <v>23861</v>
      </c>
      <c r="G10" s="5">
        <v>47899</v>
      </c>
      <c r="H10" s="12">
        <f t="shared" si="0"/>
        <v>0.50184763773773988</v>
      </c>
      <c r="I10" s="12">
        <f t="shared" si="1"/>
        <v>0.49815236226226017</v>
      </c>
    </row>
    <row r="11" spans="1:15" ht="13.2" x14ac:dyDescent="0.25">
      <c r="A11" s="14">
        <v>25</v>
      </c>
      <c r="B11" s="14" t="s">
        <v>88</v>
      </c>
      <c r="C11" s="14" t="s">
        <v>109</v>
      </c>
      <c r="D11" s="2" t="s">
        <v>18</v>
      </c>
      <c r="E11" s="3">
        <v>33094</v>
      </c>
      <c r="F11" s="3">
        <v>33174</v>
      </c>
      <c r="G11" s="5">
        <v>66268</v>
      </c>
      <c r="H11" s="12">
        <f t="shared" si="0"/>
        <v>0.49939639041467976</v>
      </c>
      <c r="I11" s="12">
        <f t="shared" si="1"/>
        <v>0.50060360958532024</v>
      </c>
      <c r="J11">
        <f>(0.5*E5+E6+E7+E8+E9+E10+E11+E12+E13+E14+E15+E16+E17*0.5)/12</f>
        <v>29620.416666666668</v>
      </c>
      <c r="K11">
        <f t="shared" ref="K11:L26" si="2">(0.5*F5+F6+F7+F8+F9+F10+F11+F12+F13+F14+F15+F16+F17*0.5)/12</f>
        <v>29446</v>
      </c>
      <c r="L11">
        <f t="shared" si="2"/>
        <v>59066.416666666664</v>
      </c>
      <c r="M11">
        <f>E11/J11</f>
        <v>1.1172699011098763</v>
      </c>
      <c r="N11">
        <f t="shared" ref="N11:O26" si="3">F11/K11</f>
        <v>1.1266046322081098</v>
      </c>
      <c r="O11">
        <f t="shared" si="3"/>
        <v>1.1219234844391273</v>
      </c>
    </row>
    <row r="12" spans="1:15" ht="13.2" x14ac:dyDescent="0.25">
      <c r="A12" s="14">
        <v>25</v>
      </c>
      <c r="B12" s="14" t="s">
        <v>89</v>
      </c>
      <c r="C12" s="14" t="s">
        <v>108</v>
      </c>
      <c r="D12" s="2" t="s">
        <v>19</v>
      </c>
      <c r="E12" s="3">
        <v>30295</v>
      </c>
      <c r="F12" s="3">
        <v>32984</v>
      </c>
      <c r="G12" s="5">
        <v>63279</v>
      </c>
      <c r="H12" s="12">
        <f t="shared" si="0"/>
        <v>0.47875282479179504</v>
      </c>
      <c r="I12" s="12">
        <f t="shared" si="1"/>
        <v>0.52124717520820496</v>
      </c>
      <c r="J12">
        <f t="shared" ref="J12:J75" si="4">(0.5*E6+E7+E8+E9+E10+E11+E12+E13+E14+E15+E16+E17+E18*0.5)/12</f>
        <v>29712.458333333332</v>
      </c>
      <c r="K12">
        <f t="shared" si="2"/>
        <v>29475.083333333332</v>
      </c>
      <c r="L12">
        <f t="shared" si="2"/>
        <v>59187.541666666664</v>
      </c>
      <c r="M12">
        <f t="shared" ref="M12:M75" si="5">E12/J12</f>
        <v>1.0196059733641472</v>
      </c>
      <c r="N12">
        <f t="shared" si="3"/>
        <v>1.1190468785782341</v>
      </c>
      <c r="O12">
        <f t="shared" si="3"/>
        <v>1.0691270192699618</v>
      </c>
    </row>
    <row r="13" spans="1:15" ht="13.2" x14ac:dyDescent="0.25">
      <c r="A13" s="14">
        <v>25</v>
      </c>
      <c r="B13" s="14" t="s">
        <v>90</v>
      </c>
      <c r="C13" s="14" t="s">
        <v>108</v>
      </c>
      <c r="D13" s="2" t="s">
        <v>20</v>
      </c>
      <c r="E13" s="3">
        <v>36790</v>
      </c>
      <c r="F13" s="3">
        <v>37144</v>
      </c>
      <c r="G13" s="5">
        <v>73934</v>
      </c>
      <c r="H13" s="12">
        <f t="shared" si="0"/>
        <v>0.49760597289474395</v>
      </c>
      <c r="I13" s="12">
        <f t="shared" si="1"/>
        <v>0.50239402710525605</v>
      </c>
      <c r="J13">
        <f t="shared" si="4"/>
        <v>29674.25</v>
      </c>
      <c r="K13">
        <f t="shared" si="2"/>
        <v>29459.166666666668</v>
      </c>
      <c r="L13">
        <f t="shared" si="2"/>
        <v>59133.416666666664</v>
      </c>
      <c r="M13">
        <f t="shared" si="5"/>
        <v>1.2397954455462228</v>
      </c>
      <c r="N13">
        <f t="shared" si="3"/>
        <v>1.2608639076688071</v>
      </c>
      <c r="O13">
        <f t="shared" si="3"/>
        <v>1.2502913609197281</v>
      </c>
    </row>
    <row r="14" spans="1:15" ht="13.2" x14ac:dyDescent="0.25">
      <c r="A14" s="14">
        <v>25</v>
      </c>
      <c r="B14" s="14" t="s">
        <v>91</v>
      </c>
      <c r="C14" s="14" t="s">
        <v>108</v>
      </c>
      <c r="D14" s="2" t="s">
        <v>21</v>
      </c>
      <c r="E14" s="3">
        <v>36520</v>
      </c>
      <c r="F14" s="3">
        <v>34544</v>
      </c>
      <c r="G14" s="5">
        <v>71064</v>
      </c>
      <c r="H14" s="12">
        <f t="shared" si="0"/>
        <v>0.51390296071147135</v>
      </c>
      <c r="I14" s="12">
        <f t="shared" si="1"/>
        <v>0.48609703928852865</v>
      </c>
      <c r="J14">
        <f t="shared" si="4"/>
        <v>29643.083333333332</v>
      </c>
      <c r="K14">
        <f t="shared" si="2"/>
        <v>29410.291666666668</v>
      </c>
      <c r="L14">
        <f t="shared" si="2"/>
        <v>59053.375</v>
      </c>
      <c r="M14">
        <f t="shared" si="5"/>
        <v>1.2319905992685196</v>
      </c>
      <c r="N14">
        <f t="shared" si="3"/>
        <v>1.1745548256208498</v>
      </c>
      <c r="O14">
        <f t="shared" si="3"/>
        <v>1.2033859199410704</v>
      </c>
    </row>
    <row r="15" spans="1:15" ht="13.2" x14ac:dyDescent="0.25">
      <c r="A15" s="14">
        <v>25</v>
      </c>
      <c r="B15" s="14" t="s">
        <v>92</v>
      </c>
      <c r="C15" s="14" t="s">
        <v>107</v>
      </c>
      <c r="D15" s="2" t="s">
        <v>22</v>
      </c>
      <c r="E15" s="3">
        <v>31883</v>
      </c>
      <c r="F15" s="3">
        <v>29410</v>
      </c>
      <c r="G15" s="5">
        <v>61293</v>
      </c>
      <c r="H15" s="12">
        <f t="shared" si="0"/>
        <v>0.52017359241675232</v>
      </c>
      <c r="I15" s="12">
        <f t="shared" si="1"/>
        <v>0.47982640758324768</v>
      </c>
      <c r="J15">
        <f t="shared" si="4"/>
        <v>29676.458333333332</v>
      </c>
      <c r="K15">
        <f t="shared" si="2"/>
        <v>29424.291666666668</v>
      </c>
      <c r="L15">
        <f t="shared" si="2"/>
        <v>59100.75</v>
      </c>
      <c r="M15">
        <f t="shared" si="5"/>
        <v>1.0743532682330972</v>
      </c>
      <c r="N15">
        <f t="shared" si="3"/>
        <v>0.99951429020523008</v>
      </c>
      <c r="O15">
        <f t="shared" si="3"/>
        <v>1.0370934379005343</v>
      </c>
    </row>
    <row r="16" spans="1:15" ht="13.2" x14ac:dyDescent="0.25">
      <c r="A16" s="14">
        <v>25</v>
      </c>
      <c r="B16" s="14" t="s">
        <v>93</v>
      </c>
      <c r="C16" s="14" t="s">
        <v>107</v>
      </c>
      <c r="D16" s="2" t="s">
        <v>23</v>
      </c>
      <c r="E16" s="3">
        <v>32119</v>
      </c>
      <c r="F16" s="3">
        <v>32743</v>
      </c>
      <c r="G16" s="5">
        <v>64862</v>
      </c>
      <c r="H16" s="12">
        <f t="shared" si="0"/>
        <v>0.4951897875489501</v>
      </c>
      <c r="I16" s="12">
        <f t="shared" si="1"/>
        <v>0.50481021245104996</v>
      </c>
      <c r="J16">
        <f t="shared" si="4"/>
        <v>29746.208333333332</v>
      </c>
      <c r="K16">
        <f t="shared" si="2"/>
        <v>29516.041666666668</v>
      </c>
      <c r="L16">
        <f t="shared" si="2"/>
        <v>59262.25</v>
      </c>
      <c r="M16">
        <f t="shared" si="5"/>
        <v>1.0797678695744135</v>
      </c>
      <c r="N16">
        <f t="shared" si="3"/>
        <v>1.1093289665930248</v>
      </c>
      <c r="O16">
        <f t="shared" si="3"/>
        <v>1.0944910124067175</v>
      </c>
    </row>
    <row r="17" spans="1:50" ht="13.2" x14ac:dyDescent="0.25">
      <c r="A17" s="14">
        <v>25</v>
      </c>
      <c r="B17" s="14" t="s">
        <v>82</v>
      </c>
      <c r="C17" s="14" t="s">
        <v>107</v>
      </c>
      <c r="D17" s="2" t="s">
        <v>24</v>
      </c>
      <c r="E17" s="3">
        <v>34373</v>
      </c>
      <c r="F17" s="3">
        <v>33270</v>
      </c>
      <c r="G17" s="5">
        <v>67643</v>
      </c>
      <c r="H17" s="12">
        <f t="shared" si="0"/>
        <v>0.50815309788152507</v>
      </c>
      <c r="I17" s="12">
        <f t="shared" si="1"/>
        <v>0.49184690211847493</v>
      </c>
      <c r="J17">
        <f t="shared" si="4"/>
        <v>29645.166666666668</v>
      </c>
      <c r="K17">
        <f t="shared" si="2"/>
        <v>29456.125</v>
      </c>
      <c r="L17">
        <f t="shared" si="2"/>
        <v>59101.291666666664</v>
      </c>
      <c r="M17">
        <f t="shared" si="5"/>
        <v>1.1594807472831434</v>
      </c>
      <c r="N17">
        <f t="shared" si="3"/>
        <v>1.1294764671184685</v>
      </c>
      <c r="O17">
        <f t="shared" si="3"/>
        <v>1.1445265931159148</v>
      </c>
    </row>
    <row r="18" spans="1:50" ht="13.2" x14ac:dyDescent="0.25">
      <c r="A18" s="14">
        <v>25</v>
      </c>
      <c r="B18" s="14" t="s">
        <v>83</v>
      </c>
      <c r="C18" s="14" t="s">
        <v>106</v>
      </c>
      <c r="D18" s="2" t="s">
        <v>25</v>
      </c>
      <c r="E18" s="3">
        <v>26445</v>
      </c>
      <c r="F18" s="3">
        <v>25715</v>
      </c>
      <c r="G18" s="5">
        <v>52160</v>
      </c>
      <c r="H18" s="12">
        <f t="shared" si="0"/>
        <v>0.50699769938650308</v>
      </c>
      <c r="I18" s="12">
        <f t="shared" si="1"/>
        <v>0.49300230061349692</v>
      </c>
      <c r="J18">
        <f t="shared" si="4"/>
        <v>29582.541666666668</v>
      </c>
      <c r="K18">
        <f t="shared" si="2"/>
        <v>29395.333333333332</v>
      </c>
      <c r="L18">
        <f t="shared" si="2"/>
        <v>58977.875</v>
      </c>
      <c r="M18">
        <f t="shared" si="5"/>
        <v>0.89393941528012721</v>
      </c>
      <c r="N18">
        <f t="shared" si="3"/>
        <v>0.87479872088540134</v>
      </c>
      <c r="O18">
        <f t="shared" si="3"/>
        <v>0.88439944640257051</v>
      </c>
    </row>
    <row r="19" spans="1:50" ht="13.2" x14ac:dyDescent="0.25">
      <c r="A19" s="14">
        <v>25</v>
      </c>
      <c r="B19" s="14" t="s">
        <v>84</v>
      </c>
      <c r="C19" s="14" t="s">
        <v>106</v>
      </c>
      <c r="D19" s="2" t="s">
        <v>26</v>
      </c>
      <c r="E19" s="3">
        <v>21807</v>
      </c>
      <c r="F19" s="3">
        <v>22052</v>
      </c>
      <c r="G19" s="5">
        <v>43859</v>
      </c>
      <c r="H19" s="12">
        <f t="shared" si="0"/>
        <v>0.4972069586629882</v>
      </c>
      <c r="I19" s="12">
        <f t="shared" si="1"/>
        <v>0.50279304133701175</v>
      </c>
      <c r="J19">
        <f t="shared" si="4"/>
        <v>29555.666666666668</v>
      </c>
      <c r="K19">
        <f t="shared" si="2"/>
        <v>29361.666666666668</v>
      </c>
      <c r="L19">
        <f t="shared" si="2"/>
        <v>58917.333333333336</v>
      </c>
      <c r="M19">
        <f t="shared" si="5"/>
        <v>0.73782805327799517</v>
      </c>
      <c r="N19">
        <f t="shared" si="3"/>
        <v>0.75104728387353126</v>
      </c>
      <c r="O19">
        <f t="shared" si="3"/>
        <v>0.74441590477052588</v>
      </c>
    </row>
    <row r="20" spans="1:50" ht="13.2" x14ac:dyDescent="0.25">
      <c r="A20" s="14">
        <v>25</v>
      </c>
      <c r="B20" s="14" t="s">
        <v>85</v>
      </c>
      <c r="C20" s="14" t="s">
        <v>106</v>
      </c>
      <c r="D20" s="2" t="s">
        <v>27</v>
      </c>
      <c r="E20" s="3">
        <v>22859</v>
      </c>
      <c r="F20" s="3">
        <v>21181</v>
      </c>
      <c r="G20" s="5">
        <v>44040</v>
      </c>
      <c r="H20" s="12">
        <f t="shared" si="0"/>
        <v>0.51905086285195279</v>
      </c>
      <c r="I20" s="12">
        <f t="shared" si="1"/>
        <v>0.48094913714804721</v>
      </c>
      <c r="J20">
        <f t="shared" si="4"/>
        <v>29384.125</v>
      </c>
      <c r="K20">
        <f t="shared" si="2"/>
        <v>29226.125</v>
      </c>
      <c r="L20">
        <f t="shared" si="2"/>
        <v>58610.25</v>
      </c>
      <c r="M20">
        <f t="shared" si="5"/>
        <v>0.77793706635811</v>
      </c>
      <c r="N20">
        <f t="shared" si="3"/>
        <v>0.72472830387196385</v>
      </c>
      <c r="O20">
        <f t="shared" si="3"/>
        <v>0.75140440451968726</v>
      </c>
    </row>
    <row r="21" spans="1:50" ht="13.2" x14ac:dyDescent="0.25">
      <c r="A21" s="14">
        <v>24</v>
      </c>
      <c r="B21" s="14" t="s">
        <v>86</v>
      </c>
      <c r="C21" s="14" t="s">
        <v>109</v>
      </c>
      <c r="D21" s="2" t="s">
        <v>28</v>
      </c>
      <c r="E21" s="3">
        <v>26713</v>
      </c>
      <c r="F21" s="3">
        <v>27911</v>
      </c>
      <c r="G21" s="5">
        <v>54624</v>
      </c>
      <c r="H21" s="12">
        <f t="shared" si="0"/>
        <v>0.48903412419449327</v>
      </c>
      <c r="I21" s="12">
        <f t="shared" si="1"/>
        <v>0.51096587580550679</v>
      </c>
      <c r="J21">
        <f t="shared" si="4"/>
        <v>29358.5</v>
      </c>
      <c r="K21">
        <f t="shared" si="2"/>
        <v>29215.916666666668</v>
      </c>
      <c r="L21">
        <f t="shared" si="2"/>
        <v>58574.416666666664</v>
      </c>
      <c r="M21">
        <f t="shared" si="5"/>
        <v>0.90988981044671902</v>
      </c>
      <c r="N21">
        <f t="shared" si="3"/>
        <v>0.95533541933478039</v>
      </c>
      <c r="O21">
        <f t="shared" si="3"/>
        <v>0.93255730246282154</v>
      </c>
    </row>
    <row r="22" spans="1:50" ht="13.2" x14ac:dyDescent="0.25">
      <c r="A22" s="14">
        <v>24</v>
      </c>
      <c r="B22" s="14" t="s">
        <v>87</v>
      </c>
      <c r="C22" s="14" t="s">
        <v>109</v>
      </c>
      <c r="D22" s="2" t="s">
        <v>29</v>
      </c>
      <c r="E22" s="3">
        <v>24075</v>
      </c>
      <c r="F22" s="3">
        <v>24268</v>
      </c>
      <c r="G22" s="5">
        <v>48343</v>
      </c>
      <c r="H22" s="12">
        <f t="shared" si="0"/>
        <v>0.49800384750636079</v>
      </c>
      <c r="I22" s="12">
        <f t="shared" si="1"/>
        <v>0.50199615249363916</v>
      </c>
      <c r="J22">
        <f t="shared" si="4"/>
        <v>29365.333333333332</v>
      </c>
      <c r="K22">
        <f t="shared" si="2"/>
        <v>29185.291666666668</v>
      </c>
      <c r="L22">
        <f t="shared" si="2"/>
        <v>58550.625</v>
      </c>
      <c r="M22">
        <f t="shared" si="5"/>
        <v>0.81984426080639305</v>
      </c>
      <c r="N22">
        <f t="shared" si="3"/>
        <v>0.83151473273495347</v>
      </c>
      <c r="O22">
        <f t="shared" si="3"/>
        <v>0.8256615535700943</v>
      </c>
    </row>
    <row r="23" spans="1:50" ht="13.2" x14ac:dyDescent="0.25">
      <c r="A23" s="14">
        <v>24</v>
      </c>
      <c r="B23" s="14" t="s">
        <v>88</v>
      </c>
      <c r="C23" s="14" t="s">
        <v>109</v>
      </c>
      <c r="D23" s="2" t="s">
        <v>30</v>
      </c>
      <c r="E23" s="3">
        <v>30632</v>
      </c>
      <c r="F23" s="3">
        <v>31329</v>
      </c>
      <c r="G23" s="5">
        <v>61961</v>
      </c>
      <c r="H23" s="12">
        <f t="shared" si="0"/>
        <v>0.49437549426251998</v>
      </c>
      <c r="I23" s="12">
        <f t="shared" si="1"/>
        <v>0.50562450573748008</v>
      </c>
      <c r="J23">
        <f t="shared" si="4"/>
        <v>29088.291666666668</v>
      </c>
      <c r="K23">
        <f t="shared" si="2"/>
        <v>28945.791666666668</v>
      </c>
      <c r="L23">
        <f t="shared" si="2"/>
        <v>58034.083333333336</v>
      </c>
      <c r="M23">
        <f t="shared" si="5"/>
        <v>1.0530697488537055</v>
      </c>
      <c r="N23">
        <f t="shared" si="3"/>
        <v>1.0823334998323013</v>
      </c>
      <c r="O23">
        <f t="shared" si="3"/>
        <v>1.0676656964513669</v>
      </c>
    </row>
    <row r="24" spans="1:50" ht="13.2" x14ac:dyDescent="0.25">
      <c r="A24" s="14">
        <v>24</v>
      </c>
      <c r="B24" s="14" t="s">
        <v>89</v>
      </c>
      <c r="C24" s="14" t="s">
        <v>108</v>
      </c>
      <c r="D24" s="2" t="s">
        <v>31</v>
      </c>
      <c r="E24" s="3">
        <v>31254</v>
      </c>
      <c r="F24" s="3">
        <v>33370</v>
      </c>
      <c r="G24" s="5">
        <v>64624</v>
      </c>
      <c r="H24" s="12">
        <f t="shared" si="0"/>
        <v>0.48362837335974251</v>
      </c>
      <c r="I24" s="12">
        <f t="shared" si="1"/>
        <v>0.51637162664025749</v>
      </c>
      <c r="J24">
        <f t="shared" si="4"/>
        <v>28932.5</v>
      </c>
      <c r="K24">
        <f t="shared" si="2"/>
        <v>28863.916666666668</v>
      </c>
      <c r="L24">
        <f t="shared" si="2"/>
        <v>57796.416666666664</v>
      </c>
      <c r="M24">
        <f t="shared" si="5"/>
        <v>1.0802384861315131</v>
      </c>
      <c r="N24">
        <f t="shared" si="3"/>
        <v>1.1561147568908123</v>
      </c>
      <c r="O24">
        <f t="shared" si="3"/>
        <v>1.1181316027377708</v>
      </c>
    </row>
    <row r="25" spans="1:50" ht="13.2" x14ac:dyDescent="0.25">
      <c r="A25" s="14">
        <v>24</v>
      </c>
      <c r="B25" s="14" t="s">
        <v>90</v>
      </c>
      <c r="C25" s="14" t="s">
        <v>108</v>
      </c>
      <c r="D25" s="2" t="s">
        <v>32</v>
      </c>
      <c r="E25" s="3">
        <v>35186</v>
      </c>
      <c r="F25" s="3">
        <v>35950</v>
      </c>
      <c r="G25" s="5">
        <v>71136</v>
      </c>
      <c r="H25" s="12">
        <f t="shared" si="0"/>
        <v>0.49463000449842554</v>
      </c>
      <c r="I25" s="12">
        <f t="shared" si="1"/>
        <v>0.50536999550157446</v>
      </c>
      <c r="J25">
        <f t="shared" si="4"/>
        <v>28945.416666666668</v>
      </c>
      <c r="K25">
        <f t="shared" si="2"/>
        <v>28870.75</v>
      </c>
      <c r="L25">
        <f t="shared" si="2"/>
        <v>57816.166666666664</v>
      </c>
      <c r="M25">
        <f t="shared" si="5"/>
        <v>1.2155983244324806</v>
      </c>
      <c r="N25">
        <f t="shared" si="3"/>
        <v>1.2452049219365622</v>
      </c>
      <c r="O25">
        <f t="shared" si="3"/>
        <v>1.2303825054699233</v>
      </c>
    </row>
    <row r="26" spans="1:50" ht="13.2" x14ac:dyDescent="0.25">
      <c r="A26" s="14">
        <v>24</v>
      </c>
      <c r="B26" s="14" t="s">
        <v>91</v>
      </c>
      <c r="C26" s="14" t="s">
        <v>108</v>
      </c>
      <c r="D26" s="2" t="s">
        <v>33</v>
      </c>
      <c r="E26" s="3">
        <v>34007</v>
      </c>
      <c r="F26" s="3">
        <v>32485</v>
      </c>
      <c r="G26" s="5">
        <v>66492</v>
      </c>
      <c r="H26" s="12">
        <f t="shared" si="0"/>
        <v>0.51144498586296094</v>
      </c>
      <c r="I26" s="12">
        <f t="shared" si="1"/>
        <v>0.48855501413703906</v>
      </c>
      <c r="J26">
        <f t="shared" si="4"/>
        <v>28929.291666666668</v>
      </c>
      <c r="K26">
        <f t="shared" si="2"/>
        <v>28865</v>
      </c>
      <c r="L26">
        <f t="shared" si="2"/>
        <v>57794.291666666664</v>
      </c>
      <c r="M26">
        <f t="shared" si="5"/>
        <v>1.1755213501886064</v>
      </c>
      <c r="N26">
        <f t="shared" si="3"/>
        <v>1.125411397886714</v>
      </c>
      <c r="O26">
        <f t="shared" si="3"/>
        <v>1.1504942457552396</v>
      </c>
    </row>
    <row r="27" spans="1:50" ht="13.2" x14ac:dyDescent="0.25">
      <c r="A27" s="14">
        <v>24</v>
      </c>
      <c r="B27" s="14" t="s">
        <v>92</v>
      </c>
      <c r="C27" s="14" t="s">
        <v>107</v>
      </c>
      <c r="D27" s="2" t="s">
        <v>34</v>
      </c>
      <c r="E27" s="3">
        <v>33781</v>
      </c>
      <c r="F27" s="3">
        <v>31224</v>
      </c>
      <c r="G27" s="5">
        <v>65005</v>
      </c>
      <c r="H27" s="12">
        <f t="shared" si="0"/>
        <v>0.51966771786785637</v>
      </c>
      <c r="I27" s="12">
        <f t="shared" si="1"/>
        <v>0.48033228213214368</v>
      </c>
      <c r="J27">
        <f t="shared" si="4"/>
        <v>28874.75</v>
      </c>
      <c r="K27">
        <f t="shared" ref="K27:K90" si="6">(0.5*F21+F22+F23+F24+F25+F26+F27+F28+F29+F30+F31+F32+F33*0.5)/12</f>
        <v>28788.333333333332</v>
      </c>
      <c r="L27">
        <f t="shared" ref="L27:L90" si="7">(0.5*G21+G22+G23+G24+G25+G26+G27+G28+G29+G30+G31+G32+G33*0.5)/12</f>
        <v>57663.083333333336</v>
      </c>
      <c r="M27">
        <f t="shared" si="5"/>
        <v>1.1699148910380177</v>
      </c>
      <c r="N27">
        <f t="shared" ref="N27:N90" si="8">F27/K27</f>
        <v>1.0846060325363285</v>
      </c>
      <c r="O27">
        <f t="shared" ref="O27:O90" si="9">G27/L27</f>
        <v>1.1273243857638553</v>
      </c>
    </row>
    <row r="28" spans="1:50" ht="13.2" x14ac:dyDescent="0.25">
      <c r="A28" s="14">
        <v>24</v>
      </c>
      <c r="B28" s="14" t="s">
        <v>93</v>
      </c>
      <c r="C28" s="14" t="s">
        <v>107</v>
      </c>
      <c r="D28" s="2" t="s">
        <v>35</v>
      </c>
      <c r="E28" s="3">
        <v>30385</v>
      </c>
      <c r="F28" s="3">
        <v>30194</v>
      </c>
      <c r="G28" s="5">
        <v>60579</v>
      </c>
      <c r="H28" s="12">
        <f t="shared" si="0"/>
        <v>0.50157645388666039</v>
      </c>
      <c r="I28" s="12">
        <f t="shared" si="1"/>
        <v>0.49842354611333961</v>
      </c>
      <c r="J28">
        <f t="shared" si="4"/>
        <v>28654.083333333332</v>
      </c>
      <c r="K28">
        <f t="shared" si="6"/>
        <v>28493.625</v>
      </c>
      <c r="L28">
        <f t="shared" si="7"/>
        <v>57147.708333333336</v>
      </c>
      <c r="M28">
        <f t="shared" si="5"/>
        <v>1.0604073299616983</v>
      </c>
      <c r="N28">
        <f t="shared" si="8"/>
        <v>1.0596756291977592</v>
      </c>
      <c r="O28">
        <f t="shared" si="9"/>
        <v>1.0600425068080157</v>
      </c>
    </row>
    <row r="29" spans="1:50" ht="13.2" x14ac:dyDescent="0.25">
      <c r="A29" s="14">
        <v>24</v>
      </c>
      <c r="B29" s="14" t="s">
        <v>82</v>
      </c>
      <c r="C29" s="14" t="s">
        <v>107</v>
      </c>
      <c r="D29" s="2" t="s">
        <v>36</v>
      </c>
      <c r="E29" s="3">
        <v>29458</v>
      </c>
      <c r="F29" s="3">
        <v>30071</v>
      </c>
      <c r="G29" s="5">
        <v>59529</v>
      </c>
      <c r="H29" s="12">
        <f t="shared" si="0"/>
        <v>0.49485124897108973</v>
      </c>
      <c r="I29" s="12">
        <f t="shared" si="1"/>
        <v>0.50514875102891033</v>
      </c>
      <c r="J29">
        <f t="shared" si="4"/>
        <v>28455.375</v>
      </c>
      <c r="K29">
        <f t="shared" si="6"/>
        <v>28273.625</v>
      </c>
      <c r="L29">
        <f t="shared" si="7"/>
        <v>56729</v>
      </c>
      <c r="M29">
        <f t="shared" si="5"/>
        <v>1.0352349951459083</v>
      </c>
      <c r="N29">
        <f t="shared" si="8"/>
        <v>1.0635707306721369</v>
      </c>
      <c r="O29">
        <f t="shared" si="9"/>
        <v>1.0493574714872465</v>
      </c>
    </row>
    <row r="30" spans="1:50" ht="13.2" x14ac:dyDescent="0.25">
      <c r="A30" s="14">
        <v>24</v>
      </c>
      <c r="B30" s="14" t="s">
        <v>83</v>
      </c>
      <c r="C30" s="14" t="s">
        <v>106</v>
      </c>
      <c r="D30" s="2" t="s">
        <v>37</v>
      </c>
      <c r="E30" s="3">
        <v>27621</v>
      </c>
      <c r="F30" s="3">
        <v>26949</v>
      </c>
      <c r="G30" s="5">
        <v>54570</v>
      </c>
      <c r="H30" s="12">
        <f t="shared" si="0"/>
        <v>0.50615722924683892</v>
      </c>
      <c r="I30" s="12">
        <f t="shared" si="1"/>
        <v>0.49384277075316108</v>
      </c>
      <c r="J30">
        <f t="shared" si="4"/>
        <v>28360.791666666668</v>
      </c>
      <c r="K30">
        <f t="shared" si="6"/>
        <v>28165.625</v>
      </c>
      <c r="L30">
        <f t="shared" si="7"/>
        <v>56526.416666666664</v>
      </c>
      <c r="M30">
        <f t="shared" si="5"/>
        <v>0.973914985330393</v>
      </c>
      <c r="N30">
        <f t="shared" si="8"/>
        <v>0.95680461555530905</v>
      </c>
      <c r="O30">
        <f t="shared" si="9"/>
        <v>0.96538933861306742</v>
      </c>
    </row>
    <row r="31" spans="1:50" ht="13.2" x14ac:dyDescent="0.25">
      <c r="A31" s="14">
        <v>24</v>
      </c>
      <c r="B31" s="14" t="s">
        <v>84</v>
      </c>
      <c r="C31" s="14" t="s">
        <v>106</v>
      </c>
      <c r="D31" s="2" t="s">
        <v>38</v>
      </c>
      <c r="E31" s="3">
        <v>20941</v>
      </c>
      <c r="F31" s="3">
        <v>20982</v>
      </c>
      <c r="G31" s="5">
        <v>41923</v>
      </c>
      <c r="H31" s="12">
        <f t="shared" si="0"/>
        <v>0.49951100827707939</v>
      </c>
      <c r="I31" s="12">
        <f t="shared" si="1"/>
        <v>0.50048899172292061</v>
      </c>
      <c r="J31">
        <f t="shared" si="4"/>
        <v>28382.541666666668</v>
      </c>
      <c r="K31">
        <f t="shared" si="6"/>
        <v>28112.125</v>
      </c>
      <c r="L31">
        <f t="shared" si="7"/>
        <v>56494.666666666664</v>
      </c>
      <c r="M31">
        <f t="shared" si="5"/>
        <v>0.73781271057178632</v>
      </c>
      <c r="N31">
        <f t="shared" si="8"/>
        <v>0.74636833750561371</v>
      </c>
      <c r="O31">
        <f t="shared" si="9"/>
        <v>0.74207004791012721</v>
      </c>
    </row>
    <row r="32" spans="1:50" ht="13.2" x14ac:dyDescent="0.25">
      <c r="A32" s="14">
        <v>24</v>
      </c>
      <c r="B32" s="14" t="s">
        <v>85</v>
      </c>
      <c r="C32" s="14" t="s">
        <v>106</v>
      </c>
      <c r="D32" s="2" t="s">
        <v>39</v>
      </c>
      <c r="E32" s="3">
        <v>23338</v>
      </c>
      <c r="F32" s="3">
        <v>22113</v>
      </c>
      <c r="G32" s="5">
        <v>45451</v>
      </c>
      <c r="H32" s="12">
        <f t="shared" si="0"/>
        <v>0.51347605113198824</v>
      </c>
      <c r="I32" s="12">
        <f t="shared" si="1"/>
        <v>0.4865239488680117</v>
      </c>
      <c r="J32">
        <f t="shared" si="4"/>
        <v>28529.75</v>
      </c>
      <c r="K32">
        <f t="shared" si="6"/>
        <v>28245.541666666668</v>
      </c>
      <c r="L32">
        <f t="shared" si="7"/>
        <v>56775.291666666664</v>
      </c>
      <c r="M32">
        <f t="shared" si="5"/>
        <v>0.81802329147644126</v>
      </c>
      <c r="N32">
        <f t="shared" si="8"/>
        <v>0.78288461453356206</v>
      </c>
      <c r="O32">
        <f t="shared" si="9"/>
        <v>0.80054190239738976</v>
      </c>
      <c r="AV32" t="s">
        <v>76</v>
      </c>
      <c r="AW32" t="s">
        <v>77</v>
      </c>
      <c r="AX32" s="13">
        <v>0.502</v>
      </c>
    </row>
    <row r="33" spans="1:50" ht="13.2" x14ac:dyDescent="0.25">
      <c r="A33" s="14">
        <v>23</v>
      </c>
      <c r="B33" s="14" t="s">
        <v>86</v>
      </c>
      <c r="C33" s="14" t="s">
        <v>109</v>
      </c>
      <c r="D33" s="2" t="s">
        <v>40</v>
      </c>
      <c r="E33" s="3">
        <v>24925</v>
      </c>
      <c r="F33" s="3">
        <v>25139</v>
      </c>
      <c r="G33" s="5">
        <v>50064</v>
      </c>
      <c r="H33" s="12">
        <f t="shared" si="0"/>
        <v>0.49786273569830619</v>
      </c>
      <c r="I33" s="12">
        <f t="shared" si="1"/>
        <v>0.50213726430169381</v>
      </c>
      <c r="J33">
        <f t="shared" si="4"/>
        <v>28479.958333333332</v>
      </c>
      <c r="K33">
        <f t="shared" si="6"/>
        <v>28225.208333333332</v>
      </c>
      <c r="L33">
        <f t="shared" si="7"/>
        <v>56705.166666666664</v>
      </c>
      <c r="M33">
        <f t="shared" si="5"/>
        <v>0.87517684219458425</v>
      </c>
      <c r="N33">
        <f t="shared" si="8"/>
        <v>0.89065773060429143</v>
      </c>
      <c r="O33">
        <f t="shared" si="9"/>
        <v>0.88288251217555136</v>
      </c>
      <c r="AW33" t="s">
        <v>78</v>
      </c>
      <c r="AX33" s="13">
        <v>0.498</v>
      </c>
    </row>
    <row r="34" spans="1:50" ht="13.2" x14ac:dyDescent="0.25">
      <c r="A34" s="14">
        <v>23</v>
      </c>
      <c r="B34" s="14" t="s">
        <v>87</v>
      </c>
      <c r="C34" s="14" t="s">
        <v>109</v>
      </c>
      <c r="D34" s="2" t="s">
        <v>41</v>
      </c>
      <c r="E34" s="3">
        <v>20567</v>
      </c>
      <c r="F34" s="3">
        <v>19967</v>
      </c>
      <c r="G34" s="5">
        <v>40534</v>
      </c>
      <c r="H34" s="12">
        <f t="shared" si="0"/>
        <v>0.50740119405930828</v>
      </c>
      <c r="I34" s="12">
        <f t="shared" si="1"/>
        <v>0.49259880594069178</v>
      </c>
      <c r="J34">
        <f t="shared" si="4"/>
        <v>28218</v>
      </c>
      <c r="K34">
        <f t="shared" si="6"/>
        <v>27957.583333333332</v>
      </c>
      <c r="L34">
        <f t="shared" si="7"/>
        <v>56175.583333333336</v>
      </c>
      <c r="M34">
        <f t="shared" si="5"/>
        <v>0.72886101070238851</v>
      </c>
      <c r="N34">
        <f t="shared" si="8"/>
        <v>0.71418905425182799</v>
      </c>
      <c r="O34">
        <f t="shared" si="9"/>
        <v>0.72155904033039264</v>
      </c>
    </row>
    <row r="35" spans="1:50" ht="13.2" x14ac:dyDescent="0.25">
      <c r="A35" s="14">
        <v>23</v>
      </c>
      <c r="B35" s="14" t="s">
        <v>88</v>
      </c>
      <c r="C35" s="14" t="s">
        <v>109</v>
      </c>
      <c r="D35" s="2" t="s">
        <v>42</v>
      </c>
      <c r="E35" s="3">
        <v>29371</v>
      </c>
      <c r="F35" s="3">
        <v>30350</v>
      </c>
      <c r="G35" s="5">
        <v>59721</v>
      </c>
      <c r="H35" s="12">
        <f t="shared" si="0"/>
        <v>0.49180355318899549</v>
      </c>
      <c r="I35" s="12">
        <f t="shared" si="1"/>
        <v>0.50819644681100451</v>
      </c>
      <c r="J35">
        <f t="shared" si="4"/>
        <v>28207.166666666668</v>
      </c>
      <c r="K35">
        <f t="shared" si="6"/>
        <v>27921.208333333332</v>
      </c>
      <c r="L35">
        <f t="shared" si="7"/>
        <v>56128.375</v>
      </c>
      <c r="M35">
        <f t="shared" si="5"/>
        <v>1.0412601998310123</v>
      </c>
      <c r="N35">
        <f t="shared" si="8"/>
        <v>1.0869873408654414</v>
      </c>
      <c r="O35">
        <f t="shared" si="9"/>
        <v>1.0640072868669368</v>
      </c>
    </row>
    <row r="36" spans="1:50" ht="13.2" x14ac:dyDescent="0.25">
      <c r="A36" s="14">
        <v>23</v>
      </c>
      <c r="B36" s="14" t="s">
        <v>89</v>
      </c>
      <c r="C36" s="14" t="s">
        <v>108</v>
      </c>
      <c r="D36" s="2" t="s">
        <v>43</v>
      </c>
      <c r="E36" s="3">
        <v>30245</v>
      </c>
      <c r="F36" s="3">
        <v>31757</v>
      </c>
      <c r="G36" s="5">
        <v>62002</v>
      </c>
      <c r="H36" s="12">
        <f t="shared" si="0"/>
        <v>0.48780684494048582</v>
      </c>
      <c r="I36" s="12">
        <f t="shared" si="1"/>
        <v>0.51219315505951424</v>
      </c>
      <c r="J36">
        <f t="shared" si="4"/>
        <v>28325.833333333332</v>
      </c>
      <c r="K36">
        <f t="shared" si="6"/>
        <v>27989.208333333332</v>
      </c>
      <c r="L36">
        <f t="shared" si="7"/>
        <v>56315.041666666664</v>
      </c>
      <c r="M36">
        <f t="shared" si="5"/>
        <v>1.0677532287958578</v>
      </c>
      <c r="N36">
        <f t="shared" si="8"/>
        <v>1.1346158712956333</v>
      </c>
      <c r="O36">
        <f t="shared" si="9"/>
        <v>1.1009847132315893</v>
      </c>
    </row>
    <row r="37" spans="1:50" ht="13.2" x14ac:dyDescent="0.25">
      <c r="A37" s="14">
        <v>23</v>
      </c>
      <c r="B37" s="14" t="s">
        <v>90</v>
      </c>
      <c r="C37" s="14" t="s">
        <v>108</v>
      </c>
      <c r="D37" s="2" t="s">
        <v>44</v>
      </c>
      <c r="E37" s="3">
        <v>36717</v>
      </c>
      <c r="F37" s="3">
        <v>36279</v>
      </c>
      <c r="G37" s="5">
        <v>72996</v>
      </c>
      <c r="H37" s="12">
        <f t="shared" si="0"/>
        <v>0.50300016439256945</v>
      </c>
      <c r="I37" s="12">
        <f t="shared" si="1"/>
        <v>0.49699983560743055</v>
      </c>
      <c r="J37">
        <f t="shared" si="4"/>
        <v>28396.583333333332</v>
      </c>
      <c r="K37">
        <f t="shared" si="6"/>
        <v>28074.708333333332</v>
      </c>
      <c r="L37">
        <f t="shared" si="7"/>
        <v>56471.291666666664</v>
      </c>
      <c r="M37">
        <f t="shared" si="5"/>
        <v>1.2930076681760423</v>
      </c>
      <c r="N37">
        <f t="shared" si="8"/>
        <v>1.2922306999330655</v>
      </c>
      <c r="O37">
        <f t="shared" si="9"/>
        <v>1.2926213983358801</v>
      </c>
    </row>
    <row r="38" spans="1:50" ht="13.2" x14ac:dyDescent="0.25">
      <c r="A38" s="14">
        <v>23</v>
      </c>
      <c r="B38" s="14" t="s">
        <v>91</v>
      </c>
      <c r="C38" s="14" t="s">
        <v>108</v>
      </c>
      <c r="D38" s="2" t="s">
        <v>45</v>
      </c>
      <c r="E38" s="3">
        <v>36009</v>
      </c>
      <c r="F38" s="3">
        <v>35358</v>
      </c>
      <c r="G38" s="5">
        <v>71367</v>
      </c>
      <c r="H38" s="12">
        <f t="shared" si="0"/>
        <v>0.50456093152297277</v>
      </c>
      <c r="I38" s="12">
        <f t="shared" si="1"/>
        <v>0.49543906847702718</v>
      </c>
      <c r="J38">
        <f t="shared" si="4"/>
        <v>28572.75</v>
      </c>
      <c r="K38">
        <f t="shared" si="6"/>
        <v>28322.666666666668</v>
      </c>
      <c r="L38">
        <f t="shared" si="7"/>
        <v>56895.416666666664</v>
      </c>
      <c r="M38">
        <f t="shared" si="5"/>
        <v>1.2602567131270179</v>
      </c>
      <c r="N38">
        <f t="shared" si="8"/>
        <v>1.2483993974202052</v>
      </c>
      <c r="O38">
        <f t="shared" si="9"/>
        <v>1.2543541146401658</v>
      </c>
    </row>
    <row r="39" spans="1:50" ht="13.2" x14ac:dyDescent="0.25">
      <c r="A39" s="14">
        <v>23</v>
      </c>
      <c r="B39" s="14" t="s">
        <v>92</v>
      </c>
      <c r="C39" s="14" t="s">
        <v>107</v>
      </c>
      <c r="D39" s="2" t="s">
        <v>46</v>
      </c>
      <c r="E39" s="3">
        <v>30584</v>
      </c>
      <c r="F39" s="3">
        <v>27863</v>
      </c>
      <c r="G39" s="5">
        <v>58447</v>
      </c>
      <c r="H39" s="12">
        <f t="shared" si="0"/>
        <v>0.5232774992728455</v>
      </c>
      <c r="I39" s="12">
        <f t="shared" si="1"/>
        <v>0.4767225007271545</v>
      </c>
      <c r="J39">
        <f t="shared" si="4"/>
        <v>28753</v>
      </c>
      <c r="K39">
        <f t="shared" si="6"/>
        <v>28566.041666666668</v>
      </c>
      <c r="L39">
        <f t="shared" si="7"/>
        <v>57319.041666666664</v>
      </c>
      <c r="M39">
        <f t="shared" si="5"/>
        <v>1.0636803116196571</v>
      </c>
      <c r="N39">
        <f t="shared" si="8"/>
        <v>0.97538890144912738</v>
      </c>
      <c r="O39">
        <f t="shared" si="9"/>
        <v>1.0196785972084612</v>
      </c>
    </row>
    <row r="40" spans="1:50" ht="13.2" x14ac:dyDescent="0.25">
      <c r="A40" s="14">
        <v>23</v>
      </c>
      <c r="B40" s="14" t="s">
        <v>93</v>
      </c>
      <c r="C40" s="14" t="s">
        <v>107</v>
      </c>
      <c r="D40" s="2" t="s">
        <v>47</v>
      </c>
      <c r="E40" s="3">
        <v>27295</v>
      </c>
      <c r="F40" s="3">
        <v>27132</v>
      </c>
      <c r="G40" s="5">
        <v>54427</v>
      </c>
      <c r="H40" s="12">
        <f t="shared" si="0"/>
        <v>0.5014974185606409</v>
      </c>
      <c r="I40" s="12">
        <f t="shared" si="1"/>
        <v>0.49850258143935916</v>
      </c>
      <c r="J40">
        <f t="shared" si="4"/>
        <v>28919.291666666668</v>
      </c>
      <c r="K40">
        <f t="shared" si="6"/>
        <v>28760.708333333332</v>
      </c>
      <c r="L40">
        <f t="shared" si="7"/>
        <v>57680</v>
      </c>
      <c r="M40">
        <f t="shared" si="5"/>
        <v>0.94383362893570177</v>
      </c>
      <c r="N40">
        <f t="shared" si="8"/>
        <v>0.94337036784849704</v>
      </c>
      <c r="O40">
        <f t="shared" si="9"/>
        <v>0.9436026352288488</v>
      </c>
    </row>
    <row r="41" spans="1:50" ht="13.2" x14ac:dyDescent="0.25">
      <c r="A41" s="14">
        <v>23</v>
      </c>
      <c r="B41" s="14" t="s">
        <v>82</v>
      </c>
      <c r="C41" s="14" t="s">
        <v>107</v>
      </c>
      <c r="D41" s="2" t="s">
        <v>48</v>
      </c>
      <c r="E41" s="3">
        <v>32288</v>
      </c>
      <c r="F41" s="3">
        <v>32260</v>
      </c>
      <c r="G41" s="5">
        <v>64548</v>
      </c>
      <c r="H41" s="12">
        <f t="shared" si="0"/>
        <v>0.50021689285492965</v>
      </c>
      <c r="I41" s="12">
        <f t="shared" si="1"/>
        <v>0.49978310714507035</v>
      </c>
      <c r="J41">
        <f t="shared" si="4"/>
        <v>29009.083333333332</v>
      </c>
      <c r="K41">
        <f t="shared" si="6"/>
        <v>28817.416666666668</v>
      </c>
      <c r="L41">
        <f t="shared" si="7"/>
        <v>57826.5</v>
      </c>
      <c r="M41">
        <f t="shared" si="5"/>
        <v>1.1130306886636083</v>
      </c>
      <c r="N41">
        <f t="shared" si="8"/>
        <v>1.1194618994878676</v>
      </c>
      <c r="O41">
        <f t="shared" si="9"/>
        <v>1.1162356359108714</v>
      </c>
    </row>
    <row r="42" spans="1:50" ht="13.2" x14ac:dyDescent="0.25">
      <c r="A42" s="14">
        <v>23</v>
      </c>
      <c r="B42" s="14" t="s">
        <v>83</v>
      </c>
      <c r="C42" s="14" t="s">
        <v>106</v>
      </c>
      <c r="D42" s="2" t="s">
        <v>49</v>
      </c>
      <c r="E42" s="3">
        <v>27639</v>
      </c>
      <c r="F42" s="3">
        <v>26392</v>
      </c>
      <c r="G42" s="5">
        <v>54031</v>
      </c>
      <c r="H42" s="12">
        <f t="shared" si="0"/>
        <v>0.51153967166996728</v>
      </c>
      <c r="I42" s="12">
        <f t="shared" si="1"/>
        <v>0.48846032833003278</v>
      </c>
      <c r="J42">
        <f t="shared" si="4"/>
        <v>28987.958333333332</v>
      </c>
      <c r="K42">
        <f t="shared" si="6"/>
        <v>28772.166666666668</v>
      </c>
      <c r="L42">
        <f t="shared" si="7"/>
        <v>57760.125</v>
      </c>
      <c r="M42">
        <f t="shared" si="5"/>
        <v>0.95346487262670854</v>
      </c>
      <c r="N42">
        <f t="shared" si="8"/>
        <v>0.91727537608684317</v>
      </c>
      <c r="O42">
        <f t="shared" si="9"/>
        <v>0.93543772628608401</v>
      </c>
    </row>
    <row r="43" spans="1:50" ht="13.2" x14ac:dyDescent="0.25">
      <c r="A43" s="14">
        <v>23</v>
      </c>
      <c r="B43" s="14" t="s">
        <v>84</v>
      </c>
      <c r="C43" s="14" t="s">
        <v>106</v>
      </c>
      <c r="D43" s="2" t="s">
        <v>50</v>
      </c>
      <c r="E43" s="3">
        <v>22621</v>
      </c>
      <c r="F43" s="3">
        <v>23591</v>
      </c>
      <c r="G43" s="5">
        <v>46212</v>
      </c>
      <c r="H43" s="12">
        <f t="shared" si="0"/>
        <v>0.48950489050463081</v>
      </c>
      <c r="I43" s="12">
        <f t="shared" si="1"/>
        <v>0.51049510949536914</v>
      </c>
      <c r="J43">
        <f t="shared" si="4"/>
        <v>28951.708333333332</v>
      </c>
      <c r="K43">
        <f t="shared" si="6"/>
        <v>28743.125</v>
      </c>
      <c r="L43">
        <f t="shared" si="7"/>
        <v>57694.833333333336</v>
      </c>
      <c r="M43">
        <f t="shared" si="5"/>
        <v>0.78133558612689813</v>
      </c>
      <c r="N43">
        <f t="shared" si="8"/>
        <v>0.82075278871034374</v>
      </c>
      <c r="O43">
        <f t="shared" si="9"/>
        <v>0.80097293518483748</v>
      </c>
    </row>
    <row r="44" spans="1:50" ht="13.2" x14ac:dyDescent="0.25">
      <c r="A44" s="14">
        <v>23</v>
      </c>
      <c r="B44" s="14" t="s">
        <v>85</v>
      </c>
      <c r="C44" s="14" t="s">
        <v>106</v>
      </c>
      <c r="D44" s="2" t="s">
        <v>51</v>
      </c>
      <c r="E44" s="3">
        <v>25886</v>
      </c>
      <c r="F44" s="3">
        <v>25455</v>
      </c>
      <c r="G44" s="5">
        <v>51341</v>
      </c>
      <c r="H44" s="12">
        <f t="shared" si="0"/>
        <v>0.50419742505989362</v>
      </c>
      <c r="I44" s="12">
        <f t="shared" si="1"/>
        <v>0.49580257494010632</v>
      </c>
      <c r="J44">
        <f t="shared" si="4"/>
        <v>28898</v>
      </c>
      <c r="K44">
        <f t="shared" si="6"/>
        <v>28683.166666666668</v>
      </c>
      <c r="L44">
        <f t="shared" si="7"/>
        <v>57581.166666666664</v>
      </c>
      <c r="M44">
        <f t="shared" si="5"/>
        <v>0.89577133365630834</v>
      </c>
      <c r="N44">
        <f t="shared" si="8"/>
        <v>0.88745431408665942</v>
      </c>
      <c r="O44">
        <f t="shared" si="9"/>
        <v>0.89162833912708728</v>
      </c>
    </row>
    <row r="45" spans="1:50" ht="13.2" x14ac:dyDescent="0.25">
      <c r="A45" s="14">
        <v>22</v>
      </c>
      <c r="B45" s="14" t="s">
        <v>86</v>
      </c>
      <c r="C45" s="14" t="s">
        <v>109</v>
      </c>
      <c r="D45" s="2" t="s">
        <v>52</v>
      </c>
      <c r="E45" s="3">
        <v>26703</v>
      </c>
      <c r="F45" s="3">
        <v>27638</v>
      </c>
      <c r="G45" s="5">
        <v>54341</v>
      </c>
      <c r="H45" s="12">
        <f t="shared" si="0"/>
        <v>0.49139691945308328</v>
      </c>
      <c r="I45" s="12">
        <f t="shared" si="1"/>
        <v>0.50860308054691672</v>
      </c>
      <c r="J45">
        <f t="shared" si="4"/>
        <v>28969.375</v>
      </c>
      <c r="K45">
        <f t="shared" si="6"/>
        <v>28692.125</v>
      </c>
      <c r="L45">
        <f t="shared" si="7"/>
        <v>57661.5</v>
      </c>
      <c r="M45">
        <f t="shared" si="5"/>
        <v>0.92176652067916554</v>
      </c>
      <c r="N45">
        <f t="shared" si="8"/>
        <v>0.96326082505217026</v>
      </c>
      <c r="O45">
        <f t="shared" si="9"/>
        <v>0.94241391569764921</v>
      </c>
    </row>
    <row r="46" spans="1:50" ht="13.2" x14ac:dyDescent="0.25">
      <c r="A46" s="14">
        <v>22</v>
      </c>
      <c r="B46" s="14" t="s">
        <v>87</v>
      </c>
      <c r="C46" s="14" t="s">
        <v>109</v>
      </c>
      <c r="D46" s="2" t="s">
        <v>53</v>
      </c>
      <c r="E46" s="3">
        <v>22780</v>
      </c>
      <c r="F46" s="3">
        <v>22140</v>
      </c>
      <c r="G46" s="5">
        <v>44920</v>
      </c>
      <c r="H46" s="12">
        <f t="shared" si="0"/>
        <v>0.50712377560106858</v>
      </c>
      <c r="I46" s="12">
        <f t="shared" si="1"/>
        <v>0.49287622439893142</v>
      </c>
      <c r="J46">
        <f t="shared" si="4"/>
        <v>28997</v>
      </c>
      <c r="K46">
        <f t="shared" si="6"/>
        <v>28684</v>
      </c>
      <c r="L46">
        <f t="shared" si="7"/>
        <v>57681</v>
      </c>
      <c r="M46">
        <f t="shared" si="5"/>
        <v>0.78559851019070936</v>
      </c>
      <c r="N46">
        <f t="shared" si="8"/>
        <v>0.77185887602844794</v>
      </c>
      <c r="O46">
        <f t="shared" si="9"/>
        <v>0.77876597146374027</v>
      </c>
    </row>
    <row r="47" spans="1:50" ht="13.2" x14ac:dyDescent="0.25">
      <c r="A47" s="14">
        <v>22</v>
      </c>
      <c r="B47" s="14" t="s">
        <v>88</v>
      </c>
      <c r="C47" s="14" t="s">
        <v>109</v>
      </c>
      <c r="D47" s="2" t="s">
        <v>54</v>
      </c>
      <c r="E47" s="3">
        <v>29313</v>
      </c>
      <c r="F47" s="3">
        <v>29538</v>
      </c>
      <c r="G47" s="5">
        <v>58851</v>
      </c>
      <c r="H47" s="12">
        <f t="shared" si="0"/>
        <v>0.49808839272059946</v>
      </c>
      <c r="I47" s="12">
        <f t="shared" si="1"/>
        <v>0.50191160727940054</v>
      </c>
      <c r="J47">
        <f t="shared" si="4"/>
        <v>28698.666666666668</v>
      </c>
      <c r="K47">
        <f t="shared" si="6"/>
        <v>28359.916666666668</v>
      </c>
      <c r="L47">
        <f t="shared" si="7"/>
        <v>57058.583333333336</v>
      </c>
      <c r="M47">
        <f t="shared" si="5"/>
        <v>1.021406337112061</v>
      </c>
      <c r="N47">
        <f t="shared" si="8"/>
        <v>1.0415404370605226</v>
      </c>
      <c r="O47">
        <f t="shared" si="9"/>
        <v>1.031413620211975</v>
      </c>
    </row>
    <row r="48" spans="1:50" ht="13.2" x14ac:dyDescent="0.25">
      <c r="A48" s="14">
        <v>22</v>
      </c>
      <c r="B48" s="14" t="s">
        <v>89</v>
      </c>
      <c r="C48" s="14" t="s">
        <v>108</v>
      </c>
      <c r="D48" s="2" t="s">
        <v>55</v>
      </c>
      <c r="E48" s="3">
        <v>29796</v>
      </c>
      <c r="F48" s="3">
        <v>31483</v>
      </c>
      <c r="G48" s="5">
        <v>61279</v>
      </c>
      <c r="H48" s="12">
        <f t="shared" si="0"/>
        <v>0.4862350886927006</v>
      </c>
      <c r="I48" s="12">
        <f t="shared" si="1"/>
        <v>0.5137649113072994</v>
      </c>
      <c r="J48">
        <f t="shared" si="4"/>
        <v>28261.375</v>
      </c>
      <c r="K48">
        <f t="shared" si="6"/>
        <v>27921.958333333332</v>
      </c>
      <c r="L48">
        <f t="shared" si="7"/>
        <v>56183.333333333336</v>
      </c>
      <c r="M48">
        <f t="shared" si="5"/>
        <v>1.0543011442295358</v>
      </c>
      <c r="N48">
        <f t="shared" si="8"/>
        <v>1.1275355268478962</v>
      </c>
      <c r="O48">
        <f t="shared" si="9"/>
        <v>1.0906971225155739</v>
      </c>
    </row>
    <row r="49" spans="1:15" ht="13.2" x14ac:dyDescent="0.25">
      <c r="A49" s="14">
        <v>22</v>
      </c>
      <c r="B49" s="14" t="s">
        <v>90</v>
      </c>
      <c r="C49" s="14" t="s">
        <v>108</v>
      </c>
      <c r="D49" s="2" t="s">
        <v>56</v>
      </c>
      <c r="E49" s="3">
        <v>36296</v>
      </c>
      <c r="F49" s="3">
        <v>35856</v>
      </c>
      <c r="G49" s="5">
        <v>72152</v>
      </c>
      <c r="H49" s="12">
        <f t="shared" si="0"/>
        <v>0.50304911852755296</v>
      </c>
      <c r="I49" s="12">
        <f t="shared" si="1"/>
        <v>0.49695088147244704</v>
      </c>
      <c r="J49">
        <f t="shared" si="4"/>
        <v>27697.583333333332</v>
      </c>
      <c r="K49">
        <f t="shared" si="6"/>
        <v>27402.333333333332</v>
      </c>
      <c r="L49">
        <f t="shared" si="7"/>
        <v>55099.916666666664</v>
      </c>
      <c r="M49">
        <f t="shared" si="5"/>
        <v>1.310439238080338</v>
      </c>
      <c r="N49">
        <f t="shared" si="8"/>
        <v>1.3085017091001983</v>
      </c>
      <c r="O49">
        <f t="shared" si="9"/>
        <v>1.3094756646637398</v>
      </c>
    </row>
    <row r="50" spans="1:15" ht="13.2" x14ac:dyDescent="0.25">
      <c r="A50" s="14">
        <v>22</v>
      </c>
      <c r="B50" s="14" t="s">
        <v>91</v>
      </c>
      <c r="C50" s="14" t="s">
        <v>108</v>
      </c>
      <c r="D50" s="2" t="s">
        <v>57</v>
      </c>
      <c r="E50" s="3">
        <v>35141</v>
      </c>
      <c r="F50" s="3">
        <v>34342</v>
      </c>
      <c r="G50" s="5">
        <v>69483</v>
      </c>
      <c r="H50" s="12">
        <f t="shared" si="0"/>
        <v>0.50574960781773959</v>
      </c>
      <c r="I50" s="12">
        <f t="shared" si="1"/>
        <v>0.49425039218226041</v>
      </c>
      <c r="J50">
        <f t="shared" si="4"/>
        <v>26850.916666666668</v>
      </c>
      <c r="K50">
        <f t="shared" si="6"/>
        <v>26513.291666666668</v>
      </c>
      <c r="L50">
        <f t="shared" si="7"/>
        <v>53364.208333333336</v>
      </c>
      <c r="M50">
        <f t="shared" si="5"/>
        <v>1.3087448907703336</v>
      </c>
      <c r="N50">
        <f t="shared" si="8"/>
        <v>1.2952748542790644</v>
      </c>
      <c r="O50">
        <f t="shared" si="9"/>
        <v>1.3020524836793699</v>
      </c>
    </row>
    <row r="51" spans="1:15" ht="13.2" x14ac:dyDescent="0.25">
      <c r="A51" s="14">
        <v>22</v>
      </c>
      <c r="B51" s="14" t="s">
        <v>92</v>
      </c>
      <c r="C51" s="14" t="s">
        <v>107</v>
      </c>
      <c r="D51" s="2" t="s">
        <v>58</v>
      </c>
      <c r="E51" s="3">
        <v>33165</v>
      </c>
      <c r="F51" s="3">
        <v>29094</v>
      </c>
      <c r="G51" s="5">
        <v>62259</v>
      </c>
      <c r="H51" s="12">
        <f t="shared" si="0"/>
        <v>0.53269406832747068</v>
      </c>
      <c r="I51" s="12">
        <f t="shared" si="1"/>
        <v>0.46730593167252926</v>
      </c>
      <c r="J51">
        <f t="shared" si="4"/>
        <v>25808.375</v>
      </c>
      <c r="K51">
        <f t="shared" si="6"/>
        <v>25417.916666666668</v>
      </c>
      <c r="L51">
        <f t="shared" si="7"/>
        <v>51226.291666666664</v>
      </c>
      <c r="M51">
        <f t="shared" si="5"/>
        <v>1.285047973768205</v>
      </c>
      <c r="N51">
        <f t="shared" si="8"/>
        <v>1.144625674147173</v>
      </c>
      <c r="O51">
        <f t="shared" si="9"/>
        <v>1.2153719891559591</v>
      </c>
    </row>
    <row r="52" spans="1:15" ht="13.2" x14ac:dyDescent="0.25">
      <c r="A52" s="14">
        <v>22</v>
      </c>
      <c r="B52" s="14" t="s">
        <v>93</v>
      </c>
      <c r="C52" s="14" t="s">
        <v>107</v>
      </c>
      <c r="D52" s="2" t="s">
        <v>59</v>
      </c>
      <c r="E52" s="3">
        <v>25377</v>
      </c>
      <c r="F52" s="3">
        <v>25706</v>
      </c>
      <c r="G52" s="5">
        <v>51083</v>
      </c>
      <c r="H52" s="12">
        <f t="shared" si="0"/>
        <v>0.4967797506019615</v>
      </c>
      <c r="I52" s="12">
        <f t="shared" si="1"/>
        <v>0.50322024939803844</v>
      </c>
      <c r="J52">
        <f t="shared" si="4"/>
        <v>24842.25</v>
      </c>
      <c r="K52">
        <f t="shared" si="6"/>
        <v>24428.916666666668</v>
      </c>
      <c r="L52">
        <f t="shared" si="7"/>
        <v>49271.166666666664</v>
      </c>
      <c r="M52">
        <f t="shared" si="5"/>
        <v>1.0215258279745192</v>
      </c>
      <c r="N52">
        <f t="shared" si="8"/>
        <v>1.0522775262922697</v>
      </c>
      <c r="O52">
        <f t="shared" si="9"/>
        <v>1.0367726899099203</v>
      </c>
    </row>
    <row r="53" spans="1:15" ht="13.2" x14ac:dyDescent="0.25">
      <c r="A53" s="14">
        <v>22</v>
      </c>
      <c r="B53" s="14" t="s">
        <v>82</v>
      </c>
      <c r="C53" s="14" t="s">
        <v>107</v>
      </c>
      <c r="D53" s="2" t="s">
        <v>60</v>
      </c>
      <c r="E53" s="3">
        <v>27046</v>
      </c>
      <c r="F53" s="3">
        <v>25908</v>
      </c>
      <c r="G53" s="5">
        <v>52954</v>
      </c>
      <c r="H53" s="12">
        <f t="shared" si="0"/>
        <v>0.5107451750575972</v>
      </c>
      <c r="I53" s="12">
        <f t="shared" si="1"/>
        <v>0.48925482494240286</v>
      </c>
      <c r="J53">
        <f t="shared" si="4"/>
        <v>23808.041666666668</v>
      </c>
      <c r="K53">
        <f t="shared" si="6"/>
        <v>23368.25</v>
      </c>
      <c r="L53">
        <f t="shared" si="7"/>
        <v>47176.291666666664</v>
      </c>
      <c r="M53">
        <f t="shared" si="5"/>
        <v>1.1360027161690816</v>
      </c>
      <c r="N53">
        <f t="shared" si="8"/>
        <v>1.1086837910412632</v>
      </c>
      <c r="O53">
        <f t="shared" si="9"/>
        <v>1.1224705912486057</v>
      </c>
    </row>
    <row r="54" spans="1:15" ht="13.2" x14ac:dyDescent="0.25">
      <c r="A54" s="14">
        <v>22</v>
      </c>
      <c r="B54" s="14" t="s">
        <v>83</v>
      </c>
      <c r="C54" s="14" t="s">
        <v>106</v>
      </c>
      <c r="D54" s="2" t="s">
        <v>61</v>
      </c>
      <c r="E54" s="3">
        <v>22386</v>
      </c>
      <c r="F54" s="3">
        <v>22233</v>
      </c>
      <c r="G54" s="5">
        <v>44619</v>
      </c>
      <c r="H54" s="12">
        <f t="shared" si="0"/>
        <v>0.50171451623747731</v>
      </c>
      <c r="I54" s="12">
        <f t="shared" si="1"/>
        <v>0.49828548376252269</v>
      </c>
      <c r="J54">
        <f t="shared" si="4"/>
        <v>22678.583333333332</v>
      </c>
      <c r="K54">
        <f t="shared" si="6"/>
        <v>22159.333333333332</v>
      </c>
      <c r="L54">
        <f t="shared" si="7"/>
        <v>44837.916666666664</v>
      </c>
      <c r="M54">
        <f t="shared" si="5"/>
        <v>0.98709869443638087</v>
      </c>
      <c r="N54">
        <f t="shared" si="8"/>
        <v>1.0033244080748518</v>
      </c>
      <c r="O54">
        <f t="shared" si="9"/>
        <v>0.9951175995019097</v>
      </c>
    </row>
    <row r="55" spans="1:15" ht="13.2" x14ac:dyDescent="0.25">
      <c r="A55" s="14">
        <v>22</v>
      </c>
      <c r="B55" s="14" t="s">
        <v>84</v>
      </c>
      <c r="C55" s="14" t="s">
        <v>106</v>
      </c>
      <c r="D55" s="2" t="s">
        <v>62</v>
      </c>
      <c r="E55" s="3">
        <v>14343</v>
      </c>
      <c r="F55" s="3">
        <v>15279</v>
      </c>
      <c r="G55" s="5">
        <v>29622</v>
      </c>
      <c r="H55" s="12">
        <f t="shared" si="0"/>
        <v>0.48420093173992301</v>
      </c>
      <c r="I55" s="12">
        <f t="shared" si="1"/>
        <v>0.51579906826007693</v>
      </c>
      <c r="J55">
        <f t="shared" si="4"/>
        <v>21441.833333333332</v>
      </c>
      <c r="K55">
        <f t="shared" si="6"/>
        <v>20856.416666666668</v>
      </c>
      <c r="L55">
        <f t="shared" si="7"/>
        <v>42298.25</v>
      </c>
      <c r="M55">
        <f t="shared" si="5"/>
        <v>0.66892600912546352</v>
      </c>
      <c r="N55">
        <f t="shared" si="8"/>
        <v>0.73258030102646265</v>
      </c>
      <c r="O55">
        <f t="shared" si="9"/>
        <v>0.700312660689272</v>
      </c>
    </row>
    <row r="56" spans="1:15" ht="13.2" x14ac:dyDescent="0.25">
      <c r="A56" s="14">
        <v>22</v>
      </c>
      <c r="B56" s="14" t="s">
        <v>85</v>
      </c>
      <c r="C56" s="14" t="s">
        <v>106</v>
      </c>
      <c r="D56" s="2" t="s">
        <v>63</v>
      </c>
      <c r="E56" s="3">
        <v>13844</v>
      </c>
      <c r="F56" s="3">
        <v>12430</v>
      </c>
      <c r="G56" s="5">
        <v>26274</v>
      </c>
      <c r="H56" s="12">
        <f t="shared" si="0"/>
        <v>0.52690873106493108</v>
      </c>
      <c r="I56" s="12">
        <f t="shared" si="1"/>
        <v>0.47309126893506886</v>
      </c>
      <c r="J56">
        <f t="shared" si="4"/>
        <v>20080.166666666668</v>
      </c>
      <c r="K56">
        <f t="shared" si="6"/>
        <v>19519.333333333332</v>
      </c>
      <c r="L56">
        <f t="shared" si="7"/>
        <v>39599.5</v>
      </c>
      <c r="M56">
        <f t="shared" si="5"/>
        <v>0.68943650866111661</v>
      </c>
      <c r="N56">
        <f t="shared" si="8"/>
        <v>0.63680453567403261</v>
      </c>
      <c r="O56">
        <f t="shared" si="9"/>
        <v>0.66349322592456972</v>
      </c>
    </row>
    <row r="57" spans="1:15" ht="13.2" x14ac:dyDescent="0.25">
      <c r="A57" s="14">
        <v>19</v>
      </c>
      <c r="B57" s="14" t="s">
        <v>94</v>
      </c>
      <c r="C57" s="14" t="s">
        <v>109</v>
      </c>
      <c r="D57" s="6">
        <v>43800</v>
      </c>
      <c r="E57" s="8">
        <v>13724</v>
      </c>
      <c r="F57" s="8">
        <v>14374</v>
      </c>
      <c r="G57" s="8">
        <f t="shared" ref="G57:G88" si="10">E57+F57</f>
        <v>28098</v>
      </c>
      <c r="H57" s="12">
        <f t="shared" si="0"/>
        <v>0.48843334045127768</v>
      </c>
      <c r="I57" s="12">
        <f t="shared" si="1"/>
        <v>0.51156665954872238</v>
      </c>
      <c r="J57">
        <f t="shared" si="4"/>
        <v>18751.416666666668</v>
      </c>
      <c r="K57">
        <f t="shared" si="6"/>
        <v>18325.708333333332</v>
      </c>
      <c r="L57">
        <f t="shared" si="7"/>
        <v>37077.125</v>
      </c>
      <c r="M57">
        <f t="shared" si="5"/>
        <v>0.73189136820773537</v>
      </c>
      <c r="N57">
        <f t="shared" si="8"/>
        <v>0.78436258716693541</v>
      </c>
      <c r="O57">
        <f t="shared" si="9"/>
        <v>0.75782574835562355</v>
      </c>
    </row>
    <row r="58" spans="1:15" ht="13.2" x14ac:dyDescent="0.25">
      <c r="A58" s="14">
        <v>19</v>
      </c>
      <c r="B58" s="14" t="s">
        <v>95</v>
      </c>
      <c r="C58" s="14" t="s">
        <v>109</v>
      </c>
      <c r="D58" s="6">
        <v>43770</v>
      </c>
      <c r="E58" s="8">
        <v>12572</v>
      </c>
      <c r="F58" s="8">
        <v>11668</v>
      </c>
      <c r="G58" s="8">
        <f t="shared" si="10"/>
        <v>24240</v>
      </c>
      <c r="H58" s="12">
        <f t="shared" si="0"/>
        <v>0.5186468646864687</v>
      </c>
      <c r="I58" s="12">
        <f t="shared" si="1"/>
        <v>0.48135313531353136</v>
      </c>
      <c r="J58">
        <f t="shared" si="4"/>
        <v>17558.375</v>
      </c>
      <c r="K58">
        <f t="shared" si="6"/>
        <v>17233.166666666668</v>
      </c>
      <c r="L58">
        <f t="shared" si="7"/>
        <v>34791.541666666664</v>
      </c>
      <c r="M58">
        <f t="shared" si="5"/>
        <v>0.71601158991079761</v>
      </c>
      <c r="N58">
        <f t="shared" si="8"/>
        <v>0.67706650934728574</v>
      </c>
      <c r="O58">
        <f t="shared" si="9"/>
        <v>0.69672106606371043</v>
      </c>
    </row>
    <row r="59" spans="1:15" ht="13.2" x14ac:dyDescent="0.25">
      <c r="A59" s="14">
        <v>19</v>
      </c>
      <c r="B59" s="14" t="s">
        <v>96</v>
      </c>
      <c r="C59" s="14" t="s">
        <v>109</v>
      </c>
      <c r="D59" s="6">
        <v>43739</v>
      </c>
      <c r="E59" s="8">
        <v>14700</v>
      </c>
      <c r="F59" s="8">
        <v>14554</v>
      </c>
      <c r="G59" s="8">
        <f t="shared" si="10"/>
        <v>29254</v>
      </c>
      <c r="H59" s="12">
        <f t="shared" si="0"/>
        <v>0.50249538524646198</v>
      </c>
      <c r="I59" s="12">
        <f t="shared" si="1"/>
        <v>0.49750461475353797</v>
      </c>
      <c r="J59">
        <f t="shared" si="4"/>
        <v>16543.75</v>
      </c>
      <c r="K59">
        <f t="shared" si="6"/>
        <v>16248.208333333334</v>
      </c>
      <c r="L59">
        <f t="shared" si="7"/>
        <v>32791.958333333336</v>
      </c>
      <c r="M59">
        <f t="shared" si="5"/>
        <v>0.88855307895731017</v>
      </c>
      <c r="N59">
        <f t="shared" si="8"/>
        <v>0.89572952915321424</v>
      </c>
      <c r="O59">
        <f t="shared" si="9"/>
        <v>0.89210896472331247</v>
      </c>
    </row>
    <row r="60" spans="1:15" ht="13.2" x14ac:dyDescent="0.25">
      <c r="A60" s="14">
        <v>19</v>
      </c>
      <c r="B60" s="14" t="s">
        <v>97</v>
      </c>
      <c r="C60" s="14" t="s">
        <v>108</v>
      </c>
      <c r="D60" s="6">
        <v>43709</v>
      </c>
      <c r="E60" s="8">
        <v>17302</v>
      </c>
      <c r="F60" s="8">
        <v>17453</v>
      </c>
      <c r="G60" s="8">
        <f t="shared" si="10"/>
        <v>34755</v>
      </c>
      <c r="H60" s="12">
        <f t="shared" si="0"/>
        <v>0.49782765069774132</v>
      </c>
      <c r="I60" s="12">
        <f t="shared" si="1"/>
        <v>0.50217234930225862</v>
      </c>
      <c r="J60">
        <f t="shared" si="4"/>
        <v>15581.541666666666</v>
      </c>
      <c r="K60">
        <f t="shared" si="6"/>
        <v>15320.875</v>
      </c>
      <c r="L60">
        <f t="shared" si="7"/>
        <v>30902.416666666668</v>
      </c>
      <c r="M60">
        <f t="shared" si="5"/>
        <v>1.1104164382535961</v>
      </c>
      <c r="N60">
        <f t="shared" si="8"/>
        <v>1.1391647017549584</v>
      </c>
      <c r="O60">
        <f t="shared" si="9"/>
        <v>1.1246693219785939</v>
      </c>
    </row>
    <row r="61" spans="1:15" ht="13.2" x14ac:dyDescent="0.25">
      <c r="A61" s="14">
        <v>19</v>
      </c>
      <c r="B61" s="14" t="s">
        <v>98</v>
      </c>
      <c r="C61" s="14" t="s">
        <v>108</v>
      </c>
      <c r="D61" s="6">
        <v>43678</v>
      </c>
      <c r="E61" s="8">
        <v>19108</v>
      </c>
      <c r="F61" s="8">
        <v>18616</v>
      </c>
      <c r="G61" s="8">
        <f t="shared" si="10"/>
        <v>37724</v>
      </c>
      <c r="H61" s="12">
        <f t="shared" si="0"/>
        <v>0.50652104760894923</v>
      </c>
      <c r="I61" s="12">
        <f t="shared" si="1"/>
        <v>0.49347895239105077</v>
      </c>
      <c r="J61">
        <f t="shared" si="4"/>
        <v>14927.375</v>
      </c>
      <c r="K61">
        <f t="shared" si="6"/>
        <v>14629.125</v>
      </c>
      <c r="L61">
        <f t="shared" si="7"/>
        <v>29556.5</v>
      </c>
      <c r="M61">
        <f t="shared" si="5"/>
        <v>1.2800643113742369</v>
      </c>
      <c r="N61">
        <f t="shared" si="8"/>
        <v>1.2725299701793511</v>
      </c>
      <c r="O61">
        <f t="shared" si="9"/>
        <v>1.2763351547037032</v>
      </c>
    </row>
    <row r="62" spans="1:15" ht="13.2" x14ac:dyDescent="0.25">
      <c r="A62" s="14">
        <v>19</v>
      </c>
      <c r="B62" s="14" t="s">
        <v>99</v>
      </c>
      <c r="C62" s="14" t="s">
        <v>108</v>
      </c>
      <c r="D62" s="6">
        <v>43647</v>
      </c>
      <c r="E62" s="8">
        <v>19649</v>
      </c>
      <c r="F62" s="8">
        <v>19492</v>
      </c>
      <c r="G62" s="8">
        <f t="shared" si="10"/>
        <v>39141</v>
      </c>
      <c r="H62" s="12">
        <f t="shared" si="0"/>
        <v>0.50200556960731713</v>
      </c>
      <c r="I62" s="12">
        <f t="shared" si="1"/>
        <v>0.49799443039268287</v>
      </c>
      <c r="J62">
        <f t="shared" si="4"/>
        <v>14619.041666666666</v>
      </c>
      <c r="K62">
        <f t="shared" si="6"/>
        <v>14319.041666666666</v>
      </c>
      <c r="L62">
        <f t="shared" si="7"/>
        <v>28938.083333333332</v>
      </c>
      <c r="M62">
        <f t="shared" si="5"/>
        <v>1.3440689511681398</v>
      </c>
      <c r="N62">
        <f t="shared" si="8"/>
        <v>1.3612642838644347</v>
      </c>
      <c r="O62">
        <f t="shared" si="9"/>
        <v>1.3525774858390185</v>
      </c>
    </row>
    <row r="63" spans="1:15" ht="13.2" x14ac:dyDescent="0.25">
      <c r="A63" s="14">
        <v>19</v>
      </c>
      <c r="B63" s="14" t="s">
        <v>100</v>
      </c>
      <c r="C63" s="14" t="s">
        <v>107</v>
      </c>
      <c r="D63" s="6">
        <v>43617</v>
      </c>
      <c r="E63" s="8">
        <v>16767</v>
      </c>
      <c r="F63" s="8">
        <v>15297</v>
      </c>
      <c r="G63" s="8">
        <f t="shared" si="10"/>
        <v>32064</v>
      </c>
      <c r="H63" s="12">
        <f t="shared" si="0"/>
        <v>0.5229229041916168</v>
      </c>
      <c r="I63" s="12">
        <f t="shared" si="1"/>
        <v>0.47707709580838326</v>
      </c>
      <c r="J63">
        <f t="shared" si="4"/>
        <v>14616</v>
      </c>
      <c r="K63">
        <f t="shared" si="6"/>
        <v>14371.666666666666</v>
      </c>
      <c r="L63">
        <f t="shared" si="7"/>
        <v>28987.666666666668</v>
      </c>
      <c r="M63">
        <f t="shared" si="5"/>
        <v>1.1471674876847291</v>
      </c>
      <c r="N63">
        <f t="shared" si="8"/>
        <v>1.0643859445668562</v>
      </c>
      <c r="O63">
        <f t="shared" si="9"/>
        <v>1.1061255936432735</v>
      </c>
    </row>
    <row r="64" spans="1:15" ht="13.2" x14ac:dyDescent="0.25">
      <c r="A64" s="14">
        <v>19</v>
      </c>
      <c r="B64" s="14" t="s">
        <v>101</v>
      </c>
      <c r="C64" s="14" t="s">
        <v>107</v>
      </c>
      <c r="D64" s="6">
        <v>43586</v>
      </c>
      <c r="E64" s="8">
        <v>13142</v>
      </c>
      <c r="F64" s="8">
        <v>13282</v>
      </c>
      <c r="G64" s="8">
        <f t="shared" si="10"/>
        <v>26424</v>
      </c>
      <c r="H64" s="12">
        <f t="shared" si="0"/>
        <v>0.49735089312745989</v>
      </c>
      <c r="I64" s="12">
        <f t="shared" si="1"/>
        <v>0.50264910687254016</v>
      </c>
      <c r="J64">
        <f t="shared" si="4"/>
        <v>14782.791666666666</v>
      </c>
      <c r="K64">
        <f t="shared" si="6"/>
        <v>14587.875</v>
      </c>
      <c r="L64">
        <f t="shared" si="7"/>
        <v>29370.666666666668</v>
      </c>
      <c r="M64">
        <f t="shared" si="5"/>
        <v>0.88900664342267333</v>
      </c>
      <c r="N64">
        <f t="shared" si="8"/>
        <v>0.91048216412602934</v>
      </c>
      <c r="O64">
        <f t="shared" si="9"/>
        <v>0.89967314327219894</v>
      </c>
    </row>
    <row r="65" spans="1:15" ht="13.2" x14ac:dyDescent="0.25">
      <c r="A65" s="14">
        <v>19</v>
      </c>
      <c r="B65" s="14" t="s">
        <v>102</v>
      </c>
      <c r="C65" s="14" t="s">
        <v>107</v>
      </c>
      <c r="D65" s="6">
        <v>43556</v>
      </c>
      <c r="E65" s="8">
        <v>14930</v>
      </c>
      <c r="F65" s="8">
        <v>14693</v>
      </c>
      <c r="G65" s="8">
        <f t="shared" si="10"/>
        <v>29623</v>
      </c>
      <c r="H65" s="12">
        <f t="shared" si="0"/>
        <v>0.50400027006042603</v>
      </c>
      <c r="I65" s="12">
        <f t="shared" si="1"/>
        <v>0.49599972993957397</v>
      </c>
      <c r="J65">
        <f t="shared" si="4"/>
        <v>15000.041666666666</v>
      </c>
      <c r="K65">
        <f t="shared" si="6"/>
        <v>14829.833333333334</v>
      </c>
      <c r="L65">
        <f t="shared" si="7"/>
        <v>29829.875</v>
      </c>
      <c r="M65">
        <f t="shared" si="5"/>
        <v>0.99533056852619861</v>
      </c>
      <c r="N65">
        <f t="shared" si="8"/>
        <v>0.99077310376605709</v>
      </c>
      <c r="O65">
        <f t="shared" si="9"/>
        <v>0.99306483852178395</v>
      </c>
    </row>
    <row r="66" spans="1:15" ht="13.2" x14ac:dyDescent="0.25">
      <c r="A66" s="14">
        <v>19</v>
      </c>
      <c r="B66" s="14" t="s">
        <v>103</v>
      </c>
      <c r="C66" s="14" t="s">
        <v>106</v>
      </c>
      <c r="D66" s="6">
        <v>43525</v>
      </c>
      <c r="E66" s="8">
        <v>11409</v>
      </c>
      <c r="F66" s="8">
        <v>11192</v>
      </c>
      <c r="G66" s="8">
        <f t="shared" si="10"/>
        <v>22601</v>
      </c>
      <c r="H66" s="12">
        <f t="shared" si="0"/>
        <v>0.50480067253661343</v>
      </c>
      <c r="I66" s="12">
        <f t="shared" si="1"/>
        <v>0.49519932746338657</v>
      </c>
      <c r="J66">
        <f t="shared" si="4"/>
        <v>15513.166666666666</v>
      </c>
      <c r="K66">
        <f t="shared" si="6"/>
        <v>15371.541666666666</v>
      </c>
      <c r="L66">
        <f t="shared" si="7"/>
        <v>30884.708333333332</v>
      </c>
      <c r="M66">
        <f t="shared" si="5"/>
        <v>0.73543978770721652</v>
      </c>
      <c r="N66">
        <f t="shared" si="8"/>
        <v>0.72809873223516408</v>
      </c>
      <c r="O66">
        <f t="shared" si="9"/>
        <v>0.73178609155285856</v>
      </c>
    </row>
    <row r="67" spans="1:15" ht="13.2" x14ac:dyDescent="0.25">
      <c r="A67" s="14">
        <v>19</v>
      </c>
      <c r="B67" s="14" t="s">
        <v>104</v>
      </c>
      <c r="C67" s="14" t="s">
        <v>106</v>
      </c>
      <c r="D67" s="6">
        <v>43497</v>
      </c>
      <c r="E67" s="8">
        <v>9620</v>
      </c>
      <c r="F67" s="8">
        <v>9718</v>
      </c>
      <c r="G67" s="8">
        <f t="shared" si="10"/>
        <v>19338</v>
      </c>
      <c r="H67" s="12">
        <f t="shared" si="0"/>
        <v>0.49746612886544628</v>
      </c>
      <c r="I67" s="12">
        <f t="shared" si="1"/>
        <v>0.50253387113455372</v>
      </c>
      <c r="J67">
        <f t="shared" si="4"/>
        <v>16403.333333333332</v>
      </c>
      <c r="K67">
        <f t="shared" si="6"/>
        <v>16327.125</v>
      </c>
      <c r="L67">
        <f t="shared" si="7"/>
        <v>32730.458333333332</v>
      </c>
      <c r="M67">
        <f t="shared" si="5"/>
        <v>0.58646616541353391</v>
      </c>
      <c r="N67">
        <f t="shared" si="8"/>
        <v>0.59520583078772293</v>
      </c>
      <c r="O67">
        <f t="shared" si="9"/>
        <v>0.59082582355120294</v>
      </c>
    </row>
    <row r="68" spans="1:15" ht="13.2" x14ac:dyDescent="0.25">
      <c r="A68" s="14">
        <v>19</v>
      </c>
      <c r="B68" s="14" t="s">
        <v>105</v>
      </c>
      <c r="C68" s="14" t="s">
        <v>106</v>
      </c>
      <c r="D68" s="6">
        <v>43466</v>
      </c>
      <c r="E68" s="8">
        <v>11167</v>
      </c>
      <c r="F68" s="8">
        <v>10549</v>
      </c>
      <c r="G68" s="8">
        <f t="shared" si="10"/>
        <v>21716</v>
      </c>
      <c r="H68" s="12">
        <f t="shared" si="0"/>
        <v>0.51422913980475227</v>
      </c>
      <c r="I68" s="12">
        <f t="shared" si="1"/>
        <v>0.48577086019524773</v>
      </c>
      <c r="J68">
        <f t="shared" si="4"/>
        <v>17428.5</v>
      </c>
      <c r="K68">
        <f t="shared" si="6"/>
        <v>17357.333333333332</v>
      </c>
      <c r="L68">
        <f t="shared" si="7"/>
        <v>34785.833333333336</v>
      </c>
      <c r="M68">
        <f t="shared" si="5"/>
        <v>0.64073213414809083</v>
      </c>
      <c r="N68">
        <f t="shared" si="8"/>
        <v>0.60775464741127672</v>
      </c>
      <c r="O68">
        <f t="shared" si="9"/>
        <v>0.62427712430826721</v>
      </c>
    </row>
    <row r="69" spans="1:15" ht="13.2" x14ac:dyDescent="0.25">
      <c r="A69" s="14">
        <v>18</v>
      </c>
      <c r="B69" s="14" t="s">
        <v>94</v>
      </c>
      <c r="C69" s="14" t="s">
        <v>109</v>
      </c>
      <c r="D69" s="6">
        <v>43435</v>
      </c>
      <c r="E69" s="8">
        <v>16328</v>
      </c>
      <c r="F69" s="8">
        <v>17518</v>
      </c>
      <c r="G69" s="8">
        <f t="shared" si="10"/>
        <v>33846</v>
      </c>
      <c r="H69" s="12">
        <f t="shared" ref="H69:H132" si="11">E69/G69</f>
        <v>0.48242037463806653</v>
      </c>
      <c r="I69" s="12">
        <f t="shared" ref="I69:I132" si="12">F69/G69</f>
        <v>0.51757962536193347</v>
      </c>
      <c r="J69">
        <f t="shared" si="4"/>
        <v>18256.5</v>
      </c>
      <c r="K69">
        <f t="shared" si="6"/>
        <v>18121.416666666668</v>
      </c>
      <c r="L69">
        <f t="shared" si="7"/>
        <v>36377.916666666664</v>
      </c>
      <c r="M69">
        <f t="shared" si="5"/>
        <v>0.8943663900528579</v>
      </c>
      <c r="N69">
        <f t="shared" si="8"/>
        <v>0.96670146281793634</v>
      </c>
      <c r="O69">
        <f t="shared" si="9"/>
        <v>0.93039962431420165</v>
      </c>
    </row>
    <row r="70" spans="1:15" ht="13.2" x14ac:dyDescent="0.25">
      <c r="A70" s="14">
        <v>18</v>
      </c>
      <c r="B70" s="14" t="s">
        <v>95</v>
      </c>
      <c r="C70" s="14" t="s">
        <v>109</v>
      </c>
      <c r="D70" s="6">
        <v>43405</v>
      </c>
      <c r="E70" s="8">
        <v>13971</v>
      </c>
      <c r="F70" s="8">
        <v>13713</v>
      </c>
      <c r="G70" s="8">
        <f t="shared" si="10"/>
        <v>27684</v>
      </c>
      <c r="H70" s="12">
        <f t="shared" si="11"/>
        <v>0.50465973125270913</v>
      </c>
      <c r="I70" s="12">
        <f t="shared" si="12"/>
        <v>0.49534026874729087</v>
      </c>
      <c r="J70">
        <f t="shared" si="4"/>
        <v>18777.333333333332</v>
      </c>
      <c r="K70">
        <f t="shared" si="6"/>
        <v>18580.083333333332</v>
      </c>
      <c r="L70">
        <f t="shared" si="7"/>
        <v>37357.416666666664</v>
      </c>
      <c r="M70">
        <f t="shared" si="5"/>
        <v>0.74403536178371088</v>
      </c>
      <c r="N70">
        <f t="shared" si="8"/>
        <v>0.73804835823305426</v>
      </c>
      <c r="O70">
        <f t="shared" si="9"/>
        <v>0.74105766592532951</v>
      </c>
    </row>
    <row r="71" spans="1:15" ht="13.2" x14ac:dyDescent="0.25">
      <c r="A71" s="14">
        <v>18</v>
      </c>
      <c r="B71" s="14" t="s">
        <v>96</v>
      </c>
      <c r="C71" s="14" t="s">
        <v>109</v>
      </c>
      <c r="D71" s="6">
        <v>43374</v>
      </c>
      <c r="E71" s="8">
        <v>18515</v>
      </c>
      <c r="F71" s="8">
        <v>18316</v>
      </c>
      <c r="G71" s="8">
        <f t="shared" si="10"/>
        <v>36831</v>
      </c>
      <c r="H71" s="12">
        <f t="shared" si="11"/>
        <v>0.50270152860362194</v>
      </c>
      <c r="I71" s="12">
        <f t="shared" si="12"/>
        <v>0.49729847139637806</v>
      </c>
      <c r="J71">
        <f t="shared" si="4"/>
        <v>19144.958333333332</v>
      </c>
      <c r="K71">
        <f t="shared" si="6"/>
        <v>18979.666666666668</v>
      </c>
      <c r="L71">
        <f t="shared" si="7"/>
        <v>38124.625</v>
      </c>
      <c r="M71">
        <f t="shared" si="5"/>
        <v>0.96709534059227953</v>
      </c>
      <c r="N71">
        <f t="shared" si="8"/>
        <v>0.96503275435114766</v>
      </c>
      <c r="O71">
        <f t="shared" si="9"/>
        <v>0.96606851870674137</v>
      </c>
    </row>
    <row r="72" spans="1:15" ht="13.2" x14ac:dyDescent="0.25">
      <c r="A72" s="14">
        <v>18</v>
      </c>
      <c r="B72" s="14" t="s">
        <v>97</v>
      </c>
      <c r="C72" s="14" t="s">
        <v>108</v>
      </c>
      <c r="D72" s="6">
        <v>43344</v>
      </c>
      <c r="E72" s="8">
        <v>25802</v>
      </c>
      <c r="F72" s="8">
        <v>26692</v>
      </c>
      <c r="G72" s="8">
        <f t="shared" si="10"/>
        <v>52494</v>
      </c>
      <c r="H72" s="12">
        <f t="shared" si="11"/>
        <v>0.49152284070560442</v>
      </c>
      <c r="I72" s="12">
        <f t="shared" si="12"/>
        <v>0.50847715929439552</v>
      </c>
      <c r="J72">
        <f t="shared" si="4"/>
        <v>19635.166666666668</v>
      </c>
      <c r="K72">
        <f t="shared" si="6"/>
        <v>19450.666666666668</v>
      </c>
      <c r="L72">
        <f t="shared" si="7"/>
        <v>39085.833333333336</v>
      </c>
      <c r="M72">
        <f t="shared" si="5"/>
        <v>1.314070842281281</v>
      </c>
      <c r="N72">
        <f t="shared" si="8"/>
        <v>1.3722922950370167</v>
      </c>
      <c r="O72">
        <f t="shared" si="9"/>
        <v>1.3430441549581049</v>
      </c>
    </row>
    <row r="73" spans="1:15" ht="13.2" x14ac:dyDescent="0.25">
      <c r="A73" s="14">
        <v>18</v>
      </c>
      <c r="B73" s="14" t="s">
        <v>98</v>
      </c>
      <c r="C73" s="14" t="s">
        <v>108</v>
      </c>
      <c r="D73" s="6">
        <v>43313</v>
      </c>
      <c r="E73" s="8">
        <v>31972</v>
      </c>
      <c r="F73" s="8">
        <v>32311</v>
      </c>
      <c r="G73" s="8">
        <f t="shared" si="10"/>
        <v>64283</v>
      </c>
      <c r="H73" s="12">
        <f t="shared" si="11"/>
        <v>0.49736322200270677</v>
      </c>
      <c r="I73" s="12">
        <f t="shared" si="12"/>
        <v>0.50263677799729323</v>
      </c>
      <c r="J73">
        <f t="shared" si="4"/>
        <v>20070.375</v>
      </c>
      <c r="K73">
        <f t="shared" si="6"/>
        <v>19809.75</v>
      </c>
      <c r="L73">
        <f t="shared" si="7"/>
        <v>39880.125</v>
      </c>
      <c r="M73">
        <f t="shared" si="5"/>
        <v>1.5929946500750485</v>
      </c>
      <c r="N73">
        <f t="shared" si="8"/>
        <v>1.6310655106702507</v>
      </c>
      <c r="O73">
        <f t="shared" si="9"/>
        <v>1.6119056798342533</v>
      </c>
    </row>
    <row r="74" spans="1:15" ht="13.2" x14ac:dyDescent="0.25">
      <c r="A74" s="14">
        <v>18</v>
      </c>
      <c r="B74" s="14" t="s">
        <v>99</v>
      </c>
      <c r="C74" s="14" t="s">
        <v>108</v>
      </c>
      <c r="D74" s="6">
        <v>43282</v>
      </c>
      <c r="E74" s="8">
        <v>31389</v>
      </c>
      <c r="F74" s="8">
        <v>30522</v>
      </c>
      <c r="G74" s="8">
        <f t="shared" si="10"/>
        <v>61911</v>
      </c>
      <c r="H74" s="12">
        <f t="shared" si="11"/>
        <v>0.50700198672287644</v>
      </c>
      <c r="I74" s="12">
        <f t="shared" si="12"/>
        <v>0.49299801327712361</v>
      </c>
      <c r="J74">
        <f t="shared" si="4"/>
        <v>20330.666666666668</v>
      </c>
      <c r="K74">
        <f t="shared" si="6"/>
        <v>20041.166666666668</v>
      </c>
      <c r="L74">
        <f t="shared" si="7"/>
        <v>40371.833333333336</v>
      </c>
      <c r="M74">
        <f t="shared" si="5"/>
        <v>1.543923793284365</v>
      </c>
      <c r="N74">
        <f t="shared" si="8"/>
        <v>1.5229652299017853</v>
      </c>
      <c r="O74">
        <f t="shared" si="9"/>
        <v>1.5335196568564715</v>
      </c>
    </row>
    <row r="75" spans="1:15" ht="13.2" x14ac:dyDescent="0.25">
      <c r="A75" s="14">
        <v>18</v>
      </c>
      <c r="B75" s="14" t="s">
        <v>100</v>
      </c>
      <c r="C75" s="14" t="s">
        <v>107</v>
      </c>
      <c r="D75" s="6">
        <v>43252</v>
      </c>
      <c r="E75" s="8">
        <v>24899</v>
      </c>
      <c r="F75" s="8">
        <v>22605</v>
      </c>
      <c r="G75" s="8">
        <f t="shared" si="10"/>
        <v>47504</v>
      </c>
      <c r="H75" s="12">
        <f t="shared" si="11"/>
        <v>0.52414533512967332</v>
      </c>
      <c r="I75" s="12">
        <f t="shared" si="12"/>
        <v>0.47585466487032668</v>
      </c>
      <c r="J75">
        <f t="shared" si="4"/>
        <v>20402.25</v>
      </c>
      <c r="K75">
        <f t="shared" si="6"/>
        <v>20077.666666666668</v>
      </c>
      <c r="L75">
        <f t="shared" si="7"/>
        <v>40479.916666666664</v>
      </c>
      <c r="M75">
        <f t="shared" si="5"/>
        <v>1.2204046122363954</v>
      </c>
      <c r="N75">
        <f t="shared" si="8"/>
        <v>1.1258778410505867</v>
      </c>
      <c r="O75">
        <f t="shared" si="9"/>
        <v>1.1735202024048963</v>
      </c>
    </row>
    <row r="76" spans="1:15" ht="13.2" x14ac:dyDescent="0.25">
      <c r="A76" s="14">
        <v>18</v>
      </c>
      <c r="B76" s="14" t="s">
        <v>101</v>
      </c>
      <c r="C76" s="14" t="s">
        <v>107</v>
      </c>
      <c r="D76" s="6">
        <v>43221</v>
      </c>
      <c r="E76" s="8">
        <v>17510</v>
      </c>
      <c r="F76" s="8">
        <v>16982</v>
      </c>
      <c r="G76" s="8">
        <f t="shared" si="10"/>
        <v>34492</v>
      </c>
      <c r="H76" s="12">
        <f t="shared" si="11"/>
        <v>0.50765394874173719</v>
      </c>
      <c r="I76" s="12">
        <f t="shared" si="12"/>
        <v>0.49234605125826281</v>
      </c>
      <c r="J76">
        <f t="shared" ref="J76:J139" si="13">(0.5*E70+E71+E72+E73+E74+E75+E76+E77+E78+E79+E80+E81+E82*0.5)/12</f>
        <v>20306.708333333332</v>
      </c>
      <c r="K76">
        <f t="shared" si="6"/>
        <v>19974.583333333332</v>
      </c>
      <c r="L76">
        <f t="shared" si="7"/>
        <v>40281.291666666664</v>
      </c>
      <c r="M76">
        <f t="shared" ref="M76:M139" si="14">E76/J76</f>
        <v>0.86227662861821119</v>
      </c>
      <c r="N76">
        <f t="shared" si="8"/>
        <v>0.85018043763950024</v>
      </c>
      <c r="O76">
        <f t="shared" si="9"/>
        <v>0.85627840053953919</v>
      </c>
    </row>
    <row r="77" spans="1:15" ht="13.2" x14ac:dyDescent="0.25">
      <c r="A77" s="14">
        <v>18</v>
      </c>
      <c r="B77" s="14" t="s">
        <v>102</v>
      </c>
      <c r="C77" s="14" t="s">
        <v>107</v>
      </c>
      <c r="D77" s="6">
        <v>43191</v>
      </c>
      <c r="E77" s="8">
        <v>19385</v>
      </c>
      <c r="F77" s="8">
        <v>20583</v>
      </c>
      <c r="G77" s="8">
        <f t="shared" si="10"/>
        <v>39968</v>
      </c>
      <c r="H77" s="12">
        <f t="shared" si="11"/>
        <v>0.48501301040832667</v>
      </c>
      <c r="I77" s="12">
        <f t="shared" si="12"/>
        <v>0.51498698959167333</v>
      </c>
      <c r="J77">
        <f t="shared" si="13"/>
        <v>20222.25</v>
      </c>
      <c r="K77">
        <f t="shared" si="6"/>
        <v>19891.541666666668</v>
      </c>
      <c r="L77">
        <f t="shared" si="7"/>
        <v>40113.791666666664</v>
      </c>
      <c r="M77">
        <f t="shared" si="14"/>
        <v>0.95859758434397757</v>
      </c>
      <c r="N77">
        <f t="shared" si="8"/>
        <v>1.0347614249775343</v>
      </c>
      <c r="O77">
        <f t="shared" si="9"/>
        <v>0.99636554759325302</v>
      </c>
    </row>
    <row r="78" spans="1:15" ht="13.2" x14ac:dyDescent="0.25">
      <c r="A78" s="14">
        <v>18</v>
      </c>
      <c r="B78" s="14" t="s">
        <v>103</v>
      </c>
      <c r="C78" s="14" t="s">
        <v>106</v>
      </c>
      <c r="D78" s="6">
        <v>43160</v>
      </c>
      <c r="E78" s="8">
        <v>18719</v>
      </c>
      <c r="F78" s="8">
        <v>16606</v>
      </c>
      <c r="G78" s="8">
        <f t="shared" si="10"/>
        <v>35325</v>
      </c>
      <c r="H78" s="12">
        <f t="shared" si="11"/>
        <v>0.52990799716914372</v>
      </c>
      <c r="I78" s="12">
        <f t="shared" si="12"/>
        <v>0.47009200283085634</v>
      </c>
      <c r="J78">
        <f t="shared" si="13"/>
        <v>19958.5</v>
      </c>
      <c r="K78">
        <f t="shared" si="6"/>
        <v>19636.125</v>
      </c>
      <c r="L78">
        <f t="shared" si="7"/>
        <v>39594.625</v>
      </c>
      <c r="M78">
        <f t="shared" si="14"/>
        <v>0.93789613447904396</v>
      </c>
      <c r="N78">
        <f t="shared" si="8"/>
        <v>0.84568620336242517</v>
      </c>
      <c r="O78">
        <f t="shared" si="9"/>
        <v>0.89216655038404835</v>
      </c>
    </row>
    <row r="79" spans="1:15" ht="13.2" x14ac:dyDescent="0.25">
      <c r="A79" s="14">
        <v>18</v>
      </c>
      <c r="B79" s="14" t="s">
        <v>104</v>
      </c>
      <c r="C79" s="14" t="s">
        <v>106</v>
      </c>
      <c r="D79" s="6">
        <v>43132</v>
      </c>
      <c r="E79" s="8">
        <v>12755</v>
      </c>
      <c r="F79" s="8">
        <v>12922</v>
      </c>
      <c r="G79" s="8">
        <f t="shared" si="10"/>
        <v>25677</v>
      </c>
      <c r="H79" s="12">
        <f t="shared" si="11"/>
        <v>0.4967480624683569</v>
      </c>
      <c r="I79" s="12">
        <f t="shared" si="12"/>
        <v>0.5032519375316431</v>
      </c>
      <c r="J79">
        <f t="shared" si="13"/>
        <v>19472</v>
      </c>
      <c r="K79">
        <f t="shared" si="6"/>
        <v>19179.458333333332</v>
      </c>
      <c r="L79">
        <f t="shared" si="7"/>
        <v>38651.458333333336</v>
      </c>
      <c r="M79">
        <f t="shared" si="14"/>
        <v>0.65504313886606413</v>
      </c>
      <c r="N79">
        <f t="shared" si="8"/>
        <v>0.6737416550258849</v>
      </c>
      <c r="O79">
        <f t="shared" si="9"/>
        <v>0.6643216351258846</v>
      </c>
    </row>
    <row r="80" spans="1:15" ht="13.2" x14ac:dyDescent="0.25">
      <c r="A80" s="14">
        <v>18</v>
      </c>
      <c r="B80" s="14" t="s">
        <v>105</v>
      </c>
      <c r="C80" s="14" t="s">
        <v>106</v>
      </c>
      <c r="D80" s="6">
        <v>43101</v>
      </c>
      <c r="E80" s="8">
        <v>14279</v>
      </c>
      <c r="F80" s="8">
        <v>12899</v>
      </c>
      <c r="G80" s="8">
        <f t="shared" si="10"/>
        <v>27178</v>
      </c>
      <c r="H80" s="12">
        <f t="shared" si="11"/>
        <v>0.52538818161748468</v>
      </c>
      <c r="I80" s="12">
        <f t="shared" si="12"/>
        <v>0.47461181838251526</v>
      </c>
      <c r="J80">
        <f t="shared" si="13"/>
        <v>18958.25</v>
      </c>
      <c r="K80">
        <f t="shared" si="6"/>
        <v>18683.458333333332</v>
      </c>
      <c r="L80">
        <f t="shared" si="7"/>
        <v>37641.708333333336</v>
      </c>
      <c r="M80">
        <f t="shared" si="14"/>
        <v>0.75318133266519849</v>
      </c>
      <c r="N80">
        <f t="shared" si="8"/>
        <v>0.69039680822831251</v>
      </c>
      <c r="O80">
        <f t="shared" si="9"/>
        <v>0.72201823996209868</v>
      </c>
    </row>
    <row r="81" spans="1:15" ht="13.2" x14ac:dyDescent="0.25">
      <c r="A81" s="14">
        <v>17</v>
      </c>
      <c r="B81" s="14" t="s">
        <v>94</v>
      </c>
      <c r="C81" s="14" t="s">
        <v>109</v>
      </c>
      <c r="D81" s="6">
        <v>43070</v>
      </c>
      <c r="E81" s="8">
        <v>14934</v>
      </c>
      <c r="F81" s="8">
        <v>16044</v>
      </c>
      <c r="G81" s="8">
        <f t="shared" si="10"/>
        <v>30978</v>
      </c>
      <c r="H81" s="12">
        <f t="shared" si="11"/>
        <v>0.48208405965523921</v>
      </c>
      <c r="I81" s="12">
        <f t="shared" si="12"/>
        <v>0.51791594034476085</v>
      </c>
      <c r="J81">
        <f t="shared" si="13"/>
        <v>18532.125</v>
      </c>
      <c r="K81">
        <f t="shared" si="6"/>
        <v>18271.5</v>
      </c>
      <c r="L81">
        <f t="shared" si="7"/>
        <v>36803.625</v>
      </c>
      <c r="M81">
        <f t="shared" si="14"/>
        <v>0.80584390618992696</v>
      </c>
      <c r="N81">
        <f t="shared" si="8"/>
        <v>0.87808882686150558</v>
      </c>
      <c r="O81">
        <f t="shared" si="9"/>
        <v>0.84171056519568388</v>
      </c>
    </row>
    <row r="82" spans="1:15" ht="13.2" x14ac:dyDescent="0.25">
      <c r="A82" s="14">
        <v>17</v>
      </c>
      <c r="B82" s="14" t="s">
        <v>95</v>
      </c>
      <c r="C82" s="14" t="s">
        <v>109</v>
      </c>
      <c r="D82" s="6">
        <v>43040</v>
      </c>
      <c r="E82" s="8">
        <v>13072</v>
      </c>
      <c r="F82" s="8">
        <v>12713</v>
      </c>
      <c r="G82" s="8">
        <f t="shared" si="10"/>
        <v>25785</v>
      </c>
      <c r="H82" s="12">
        <f t="shared" si="11"/>
        <v>0.50696141167345354</v>
      </c>
      <c r="I82" s="12">
        <f t="shared" si="12"/>
        <v>0.49303858832654646</v>
      </c>
      <c r="J82">
        <f t="shared" si="13"/>
        <v>18306.25</v>
      </c>
      <c r="K82">
        <f t="shared" si="6"/>
        <v>18104.666666666668</v>
      </c>
      <c r="L82">
        <f t="shared" si="7"/>
        <v>36410.916666666664</v>
      </c>
      <c r="M82">
        <f t="shared" si="14"/>
        <v>0.71407306247866165</v>
      </c>
      <c r="N82">
        <f t="shared" si="8"/>
        <v>0.70219464594763781</v>
      </c>
      <c r="O82">
        <f t="shared" si="9"/>
        <v>0.70816673570884192</v>
      </c>
    </row>
    <row r="83" spans="1:15" ht="13.2" x14ac:dyDescent="0.25">
      <c r="A83" s="14">
        <v>17</v>
      </c>
      <c r="B83" s="14" t="s">
        <v>96</v>
      </c>
      <c r="C83" s="14" t="s">
        <v>109</v>
      </c>
      <c r="D83" s="6">
        <v>43009</v>
      </c>
      <c r="E83" s="8">
        <v>17387</v>
      </c>
      <c r="F83" s="8">
        <v>17323</v>
      </c>
      <c r="G83" s="8">
        <f t="shared" si="10"/>
        <v>34710</v>
      </c>
      <c r="H83" s="12">
        <f t="shared" si="11"/>
        <v>0.50092192451743012</v>
      </c>
      <c r="I83" s="12">
        <f t="shared" si="12"/>
        <v>0.49907807548256988</v>
      </c>
      <c r="J83">
        <f t="shared" si="13"/>
        <v>18322.208333333332</v>
      </c>
      <c r="K83">
        <f t="shared" si="6"/>
        <v>18131.916666666668</v>
      </c>
      <c r="L83">
        <f t="shared" si="7"/>
        <v>36454.125</v>
      </c>
      <c r="M83">
        <f t="shared" si="14"/>
        <v>0.94895766294546924</v>
      </c>
      <c r="N83">
        <f t="shared" si="8"/>
        <v>0.95538713962028277</v>
      </c>
      <c r="O83">
        <f t="shared" si="9"/>
        <v>0.95215562024873723</v>
      </c>
    </row>
    <row r="84" spans="1:15" ht="13.2" x14ac:dyDescent="0.25">
      <c r="A84" s="14">
        <v>17</v>
      </c>
      <c r="B84" s="14" t="s">
        <v>97</v>
      </c>
      <c r="C84" s="14" t="s">
        <v>108</v>
      </c>
      <c r="D84" s="6">
        <v>42979</v>
      </c>
      <c r="E84" s="8">
        <v>20600</v>
      </c>
      <c r="F84" s="8">
        <v>21555</v>
      </c>
      <c r="G84" s="8">
        <f t="shared" si="10"/>
        <v>42155</v>
      </c>
      <c r="H84" s="12">
        <f t="shared" si="11"/>
        <v>0.48867275530779269</v>
      </c>
      <c r="I84" s="12">
        <f t="shared" si="12"/>
        <v>0.51132724469220736</v>
      </c>
      <c r="J84">
        <f t="shared" si="13"/>
        <v>18413</v>
      </c>
      <c r="K84">
        <f t="shared" si="6"/>
        <v>18225.791666666668</v>
      </c>
      <c r="L84">
        <f t="shared" si="7"/>
        <v>36638.791666666664</v>
      </c>
      <c r="M84">
        <f t="shared" si="14"/>
        <v>1.1187747786889697</v>
      </c>
      <c r="N84">
        <f t="shared" si="8"/>
        <v>1.1826646762029083</v>
      </c>
      <c r="O84">
        <f t="shared" si="9"/>
        <v>1.1505565026139191</v>
      </c>
    </row>
    <row r="85" spans="1:15" ht="13.2" x14ac:dyDescent="0.25">
      <c r="A85" s="14">
        <v>17</v>
      </c>
      <c r="B85" s="14" t="s">
        <v>98</v>
      </c>
      <c r="C85" s="14" t="s">
        <v>108</v>
      </c>
      <c r="D85" s="6">
        <v>42948</v>
      </c>
      <c r="E85" s="8">
        <v>25498</v>
      </c>
      <c r="F85" s="8">
        <v>26488</v>
      </c>
      <c r="G85" s="8">
        <f t="shared" si="10"/>
        <v>51986</v>
      </c>
      <c r="H85" s="12">
        <f t="shared" si="11"/>
        <v>0.49047820567075751</v>
      </c>
      <c r="I85" s="12">
        <f t="shared" si="12"/>
        <v>0.50952179432924249</v>
      </c>
      <c r="J85">
        <f t="shared" si="13"/>
        <v>18393.291666666668</v>
      </c>
      <c r="K85">
        <f t="shared" si="6"/>
        <v>18225.916666666668</v>
      </c>
      <c r="L85">
        <f t="shared" si="7"/>
        <v>36619.208333333336</v>
      </c>
      <c r="M85">
        <f t="shared" si="14"/>
        <v>1.386266279146156</v>
      </c>
      <c r="N85">
        <f t="shared" si="8"/>
        <v>1.4533151053216344</v>
      </c>
      <c r="O85">
        <f t="shared" si="9"/>
        <v>1.4196374625794066</v>
      </c>
    </row>
    <row r="86" spans="1:15" ht="13.2" x14ac:dyDescent="0.25">
      <c r="A86" s="14">
        <v>17</v>
      </c>
      <c r="B86" s="14" t="s">
        <v>99</v>
      </c>
      <c r="C86" s="14" t="s">
        <v>108</v>
      </c>
      <c r="D86" s="6">
        <v>42917</v>
      </c>
      <c r="E86" s="8">
        <v>25533</v>
      </c>
      <c r="F86" s="8">
        <v>24441</v>
      </c>
      <c r="G86" s="8">
        <f t="shared" si="10"/>
        <v>49974</v>
      </c>
      <c r="H86" s="12">
        <f t="shared" si="11"/>
        <v>0.51092568135430427</v>
      </c>
      <c r="I86" s="12">
        <f t="shared" si="12"/>
        <v>0.48907431864569578</v>
      </c>
      <c r="J86">
        <f t="shared" si="13"/>
        <v>18317.208333333332</v>
      </c>
      <c r="K86">
        <f t="shared" si="6"/>
        <v>18152.125</v>
      </c>
      <c r="L86">
        <f t="shared" si="7"/>
        <v>36469.333333333336</v>
      </c>
      <c r="M86">
        <f t="shared" si="14"/>
        <v>1.3939351202080013</v>
      </c>
      <c r="N86">
        <f t="shared" si="8"/>
        <v>1.3464539275704634</v>
      </c>
      <c r="O86">
        <f t="shared" si="9"/>
        <v>1.3703019888856389</v>
      </c>
    </row>
    <row r="87" spans="1:15" ht="13.2" x14ac:dyDescent="0.25">
      <c r="A87" s="14">
        <v>17</v>
      </c>
      <c r="B87" s="14" t="s">
        <v>100</v>
      </c>
      <c r="C87" s="14" t="s">
        <v>107</v>
      </c>
      <c r="D87" s="6">
        <v>42887</v>
      </c>
      <c r="E87" s="8">
        <v>20528</v>
      </c>
      <c r="F87" s="8">
        <v>18799</v>
      </c>
      <c r="G87" s="8">
        <f t="shared" si="10"/>
        <v>39327</v>
      </c>
      <c r="H87" s="12">
        <f t="shared" si="11"/>
        <v>0.52198235309075192</v>
      </c>
      <c r="I87" s="12">
        <f t="shared" si="12"/>
        <v>0.47801764690924808</v>
      </c>
      <c r="J87">
        <f t="shared" si="13"/>
        <v>18330.666666666668</v>
      </c>
      <c r="K87">
        <f t="shared" si="6"/>
        <v>18155.541666666668</v>
      </c>
      <c r="L87">
        <f t="shared" si="7"/>
        <v>36486.208333333336</v>
      </c>
      <c r="M87">
        <f t="shared" si="14"/>
        <v>1.1198719813791096</v>
      </c>
      <c r="N87">
        <f t="shared" si="8"/>
        <v>1.0354414285812641</v>
      </c>
      <c r="O87">
        <f t="shared" si="9"/>
        <v>1.0778593281251247</v>
      </c>
    </row>
    <row r="88" spans="1:15" ht="13.2" x14ac:dyDescent="0.25">
      <c r="A88" s="14">
        <v>17</v>
      </c>
      <c r="B88" s="14" t="s">
        <v>101</v>
      </c>
      <c r="C88" s="14" t="s">
        <v>107</v>
      </c>
      <c r="D88" s="6">
        <v>42856</v>
      </c>
      <c r="E88" s="8">
        <v>16460</v>
      </c>
      <c r="F88" s="8">
        <v>16784</v>
      </c>
      <c r="G88" s="8">
        <f t="shared" si="10"/>
        <v>33244</v>
      </c>
      <c r="H88" s="12">
        <f t="shared" si="11"/>
        <v>0.4951269401997353</v>
      </c>
      <c r="I88" s="12">
        <f t="shared" si="12"/>
        <v>0.50487305980026476</v>
      </c>
      <c r="J88">
        <f t="shared" si="13"/>
        <v>18398.875</v>
      </c>
      <c r="K88">
        <f t="shared" si="6"/>
        <v>18181.208333333332</v>
      </c>
      <c r="L88">
        <f t="shared" si="7"/>
        <v>36580.083333333336</v>
      </c>
      <c r="M88">
        <f t="shared" si="14"/>
        <v>0.89461991561984089</v>
      </c>
      <c r="N88">
        <f t="shared" si="8"/>
        <v>0.92315096402191832</v>
      </c>
      <c r="O88">
        <f t="shared" si="9"/>
        <v>0.90880055403555204</v>
      </c>
    </row>
    <row r="89" spans="1:15" ht="13.2" x14ac:dyDescent="0.25">
      <c r="A89" s="14">
        <v>17</v>
      </c>
      <c r="B89" s="14" t="s">
        <v>102</v>
      </c>
      <c r="C89" s="14" t="s">
        <v>107</v>
      </c>
      <c r="D89" s="6">
        <v>42826</v>
      </c>
      <c r="E89" s="8">
        <v>20818</v>
      </c>
      <c r="F89" s="8">
        <v>21435</v>
      </c>
      <c r="G89" s="8">
        <f t="shared" ref="G89:G120" si="15">E89+F89</f>
        <v>42253</v>
      </c>
      <c r="H89" s="12">
        <f t="shared" si="11"/>
        <v>0.49269874328450053</v>
      </c>
      <c r="I89" s="12">
        <f t="shared" si="12"/>
        <v>0.50730125671549953</v>
      </c>
      <c r="J89">
        <f t="shared" si="13"/>
        <v>18387.166666666668</v>
      </c>
      <c r="K89">
        <f t="shared" si="6"/>
        <v>18134.666666666668</v>
      </c>
      <c r="L89">
        <f t="shared" si="7"/>
        <v>36521.833333333336</v>
      </c>
      <c r="M89">
        <f t="shared" si="14"/>
        <v>1.1322027138493334</v>
      </c>
      <c r="N89">
        <f t="shared" si="8"/>
        <v>1.1819902948312624</v>
      </c>
      <c r="O89">
        <f t="shared" si="9"/>
        <v>1.1569243968219922</v>
      </c>
    </row>
    <row r="90" spans="1:15" ht="13.2" x14ac:dyDescent="0.25">
      <c r="A90" s="14">
        <v>17</v>
      </c>
      <c r="B90" s="14" t="s">
        <v>103</v>
      </c>
      <c r="C90" s="14" t="s">
        <v>106</v>
      </c>
      <c r="D90" s="6">
        <v>42795</v>
      </c>
      <c r="E90" s="8">
        <v>19465</v>
      </c>
      <c r="F90" s="8">
        <v>18007</v>
      </c>
      <c r="G90" s="8">
        <f t="shared" si="15"/>
        <v>37472</v>
      </c>
      <c r="H90" s="12">
        <f t="shared" si="11"/>
        <v>0.51945452604611442</v>
      </c>
      <c r="I90" s="12">
        <f t="shared" si="12"/>
        <v>0.48054547395388558</v>
      </c>
      <c r="J90">
        <f t="shared" si="13"/>
        <v>18236.333333333332</v>
      </c>
      <c r="K90">
        <f t="shared" si="6"/>
        <v>17951.958333333332</v>
      </c>
      <c r="L90">
        <f t="shared" si="7"/>
        <v>36188.291666666664</v>
      </c>
      <c r="M90">
        <f t="shared" si="14"/>
        <v>1.0673746549927801</v>
      </c>
      <c r="N90">
        <f t="shared" si="8"/>
        <v>1.0030660536106786</v>
      </c>
      <c r="O90">
        <f t="shared" si="9"/>
        <v>1.035473029375293</v>
      </c>
    </row>
    <row r="91" spans="1:15" ht="13.2" x14ac:dyDescent="0.25">
      <c r="A91" s="14">
        <v>17</v>
      </c>
      <c r="B91" s="14" t="s">
        <v>104</v>
      </c>
      <c r="C91" s="14" t="s">
        <v>106</v>
      </c>
      <c r="D91" s="6">
        <v>42767</v>
      </c>
      <c r="E91" s="8">
        <v>11536</v>
      </c>
      <c r="F91" s="8">
        <v>11524</v>
      </c>
      <c r="G91" s="8">
        <f t="shared" si="15"/>
        <v>23060</v>
      </c>
      <c r="H91" s="12">
        <f t="shared" si="11"/>
        <v>0.50026019080659145</v>
      </c>
      <c r="I91" s="12">
        <f t="shared" si="12"/>
        <v>0.49973980919340849</v>
      </c>
      <c r="J91">
        <f t="shared" si="13"/>
        <v>18043.958333333332</v>
      </c>
      <c r="K91">
        <f t="shared" ref="K91:K154" si="16">(0.5*F85+F86+F87+F88+F89+F90+F91+F92+F93+F94+F95+F96+F97*0.5)/12</f>
        <v>17688.25</v>
      </c>
      <c r="L91">
        <f t="shared" ref="L91:L154" si="17">(0.5*G85+G86+G87+G88+G89+G90+G91+G92+G93+G94+G95+G96+G97*0.5)/12</f>
        <v>35732.208333333336</v>
      </c>
      <c r="M91">
        <f t="shared" si="14"/>
        <v>0.6393275680918129</v>
      </c>
      <c r="N91">
        <f t="shared" ref="N91:N154" si="18">F91/K91</f>
        <v>0.65150594321088862</v>
      </c>
      <c r="O91">
        <f t="shared" ref="O91:O154" si="19">G91/L91</f>
        <v>0.64535613877769005</v>
      </c>
    </row>
    <row r="92" spans="1:15" ht="13.2" x14ac:dyDescent="0.25">
      <c r="A92" s="14">
        <v>17</v>
      </c>
      <c r="B92" s="14" t="s">
        <v>105</v>
      </c>
      <c r="C92" s="14" t="s">
        <v>106</v>
      </c>
      <c r="D92" s="6">
        <v>42736</v>
      </c>
      <c r="E92" s="8">
        <v>13672</v>
      </c>
      <c r="F92" s="8">
        <v>12526</v>
      </c>
      <c r="G92" s="8">
        <f t="shared" si="15"/>
        <v>26198</v>
      </c>
      <c r="H92" s="12">
        <f t="shared" si="11"/>
        <v>0.52187189861821515</v>
      </c>
      <c r="I92" s="12">
        <f t="shared" si="12"/>
        <v>0.47812810138178485</v>
      </c>
      <c r="J92">
        <f t="shared" si="13"/>
        <v>17849.583333333332</v>
      </c>
      <c r="K92">
        <f t="shared" si="16"/>
        <v>17456.791666666668</v>
      </c>
      <c r="L92">
        <f t="shared" si="17"/>
        <v>35306.375</v>
      </c>
      <c r="M92">
        <f t="shared" si="14"/>
        <v>0.76595625481453822</v>
      </c>
      <c r="N92">
        <f t="shared" si="18"/>
        <v>0.7175430765962626</v>
      </c>
      <c r="O92">
        <f t="shared" si="19"/>
        <v>0.74201896966199443</v>
      </c>
    </row>
    <row r="93" spans="1:15" ht="13.2" x14ac:dyDescent="0.25">
      <c r="A93" s="14">
        <v>16</v>
      </c>
      <c r="B93" s="14" t="s">
        <v>94</v>
      </c>
      <c r="C93" s="14" t="s">
        <v>109</v>
      </c>
      <c r="D93" s="6">
        <v>42705</v>
      </c>
      <c r="E93" s="8">
        <v>15864</v>
      </c>
      <c r="F93" s="8">
        <v>16499</v>
      </c>
      <c r="G93" s="8">
        <f t="shared" si="15"/>
        <v>32363</v>
      </c>
      <c r="H93" s="12">
        <f t="shared" si="11"/>
        <v>0.49018941383678893</v>
      </c>
      <c r="I93" s="12">
        <f t="shared" si="12"/>
        <v>0.50981058616321107</v>
      </c>
      <c r="J93">
        <f t="shared" si="13"/>
        <v>17672.083333333332</v>
      </c>
      <c r="K93">
        <f t="shared" si="16"/>
        <v>17335.791666666668</v>
      </c>
      <c r="L93">
        <f t="shared" si="17"/>
        <v>35007.875</v>
      </c>
      <c r="M93">
        <f t="shared" si="14"/>
        <v>0.89768702992007177</v>
      </c>
      <c r="N93">
        <f t="shared" si="18"/>
        <v>0.95173040362064032</v>
      </c>
      <c r="O93">
        <f t="shared" si="19"/>
        <v>0.92444914180023785</v>
      </c>
    </row>
    <row r="94" spans="1:15" ht="13.2" x14ac:dyDescent="0.25">
      <c r="A94" s="14">
        <v>16</v>
      </c>
      <c r="B94" s="14" t="s">
        <v>95</v>
      </c>
      <c r="C94" s="14" t="s">
        <v>109</v>
      </c>
      <c r="D94" s="6">
        <v>42675</v>
      </c>
      <c r="E94" s="8">
        <v>13779</v>
      </c>
      <c r="F94" s="8">
        <v>12874</v>
      </c>
      <c r="G94" s="8">
        <f t="shared" si="15"/>
        <v>26653</v>
      </c>
      <c r="H94" s="12">
        <f t="shared" si="11"/>
        <v>0.51697745094360859</v>
      </c>
      <c r="I94" s="12">
        <f t="shared" si="12"/>
        <v>0.48302254905639141</v>
      </c>
      <c r="J94">
        <f t="shared" si="13"/>
        <v>17614.916666666668</v>
      </c>
      <c r="K94">
        <f t="shared" si="16"/>
        <v>17310.5</v>
      </c>
      <c r="L94">
        <f t="shared" si="17"/>
        <v>34925.416666666664</v>
      </c>
      <c r="M94">
        <f t="shared" si="14"/>
        <v>0.78223475368887163</v>
      </c>
      <c r="N94">
        <f t="shared" si="18"/>
        <v>0.74371046474683</v>
      </c>
      <c r="O94">
        <f t="shared" si="19"/>
        <v>0.76314050178356263</v>
      </c>
    </row>
    <row r="95" spans="1:15" ht="13.2" x14ac:dyDescent="0.25">
      <c r="A95" s="14">
        <v>16</v>
      </c>
      <c r="B95" s="14" t="s">
        <v>96</v>
      </c>
      <c r="C95" s="14" t="s">
        <v>109</v>
      </c>
      <c r="D95" s="6">
        <v>42644</v>
      </c>
      <c r="E95" s="8">
        <v>16399</v>
      </c>
      <c r="F95" s="8">
        <v>16045</v>
      </c>
      <c r="G95" s="8">
        <f t="shared" si="15"/>
        <v>32444</v>
      </c>
      <c r="H95" s="12">
        <f t="shared" si="11"/>
        <v>0.50545555418567378</v>
      </c>
      <c r="I95" s="12">
        <f t="shared" si="12"/>
        <v>0.49454444581432622</v>
      </c>
      <c r="J95">
        <f t="shared" si="13"/>
        <v>17500.5</v>
      </c>
      <c r="K95">
        <f t="shared" si="16"/>
        <v>17123.083333333332</v>
      </c>
      <c r="L95">
        <f t="shared" si="17"/>
        <v>34623.583333333336</v>
      </c>
      <c r="M95">
        <f t="shared" si="14"/>
        <v>0.93705894117310939</v>
      </c>
      <c r="N95">
        <f t="shared" si="18"/>
        <v>0.9370391820009053</v>
      </c>
      <c r="O95">
        <f t="shared" si="19"/>
        <v>0.93704916928009085</v>
      </c>
    </row>
    <row r="96" spans="1:15" ht="13.2" x14ac:dyDescent="0.25">
      <c r="A96" s="14">
        <v>16</v>
      </c>
      <c r="B96" s="14" t="s">
        <v>97</v>
      </c>
      <c r="C96" s="14" t="s">
        <v>108</v>
      </c>
      <c r="D96" s="6">
        <v>42614</v>
      </c>
      <c r="E96" s="8">
        <v>17968</v>
      </c>
      <c r="F96" s="8">
        <v>18448</v>
      </c>
      <c r="G96" s="8">
        <f t="shared" si="15"/>
        <v>36416</v>
      </c>
      <c r="H96" s="12">
        <f t="shared" si="11"/>
        <v>0.49340949033391918</v>
      </c>
      <c r="I96" s="12">
        <f t="shared" si="12"/>
        <v>0.50659050966608088</v>
      </c>
      <c r="J96">
        <f t="shared" si="13"/>
        <v>17398.666666666668</v>
      </c>
      <c r="K96">
        <f t="shared" si="16"/>
        <v>17010.791666666668</v>
      </c>
      <c r="L96">
        <f t="shared" si="17"/>
        <v>34409.458333333336</v>
      </c>
      <c r="M96">
        <f t="shared" si="14"/>
        <v>1.0327228140087363</v>
      </c>
      <c r="N96">
        <f t="shared" si="18"/>
        <v>1.0844880333317819</v>
      </c>
      <c r="O96">
        <f t="shared" si="19"/>
        <v>1.0583136661794781</v>
      </c>
    </row>
    <row r="97" spans="1:15" ht="13.2" x14ac:dyDescent="0.25">
      <c r="A97" s="14">
        <v>16</v>
      </c>
      <c r="B97" s="14" t="s">
        <v>98</v>
      </c>
      <c r="C97" s="14" t="s">
        <v>108</v>
      </c>
      <c r="D97" s="6">
        <v>42583</v>
      </c>
      <c r="E97" s="8">
        <v>23513</v>
      </c>
      <c r="F97" s="8">
        <v>23266</v>
      </c>
      <c r="G97" s="8">
        <f t="shared" si="15"/>
        <v>46779</v>
      </c>
      <c r="H97" s="12">
        <f t="shared" si="11"/>
        <v>0.50264007353727103</v>
      </c>
      <c r="I97" s="12">
        <f t="shared" si="12"/>
        <v>0.49735992646272903</v>
      </c>
      <c r="J97">
        <f t="shared" si="13"/>
        <v>17514.25</v>
      </c>
      <c r="K97">
        <f t="shared" si="16"/>
        <v>17161.625</v>
      </c>
      <c r="L97">
        <f t="shared" si="17"/>
        <v>34675.875</v>
      </c>
      <c r="M97">
        <f t="shared" si="14"/>
        <v>1.342506815878499</v>
      </c>
      <c r="N97">
        <f t="shared" si="18"/>
        <v>1.3556991252285258</v>
      </c>
      <c r="O97">
        <f t="shared" si="19"/>
        <v>1.3490358931101234</v>
      </c>
    </row>
    <row r="98" spans="1:15" ht="13.2" x14ac:dyDescent="0.25">
      <c r="A98" s="14">
        <v>16</v>
      </c>
      <c r="B98" s="14" t="s">
        <v>99</v>
      </c>
      <c r="C98" s="14" t="s">
        <v>108</v>
      </c>
      <c r="D98" s="6">
        <v>42552</v>
      </c>
      <c r="E98" s="8">
        <v>22853</v>
      </c>
      <c r="F98" s="8">
        <v>22108</v>
      </c>
      <c r="G98" s="8">
        <f t="shared" si="15"/>
        <v>44961</v>
      </c>
      <c r="H98" s="12">
        <f t="shared" si="11"/>
        <v>0.50828495807477592</v>
      </c>
      <c r="I98" s="12">
        <f t="shared" si="12"/>
        <v>0.49171504192522408</v>
      </c>
      <c r="J98">
        <f t="shared" si="13"/>
        <v>17636.666666666668</v>
      </c>
      <c r="K98">
        <f t="shared" si="16"/>
        <v>17247.5</v>
      </c>
      <c r="L98">
        <f t="shared" si="17"/>
        <v>34884.166666666664</v>
      </c>
      <c r="M98">
        <f t="shared" si="14"/>
        <v>1.2957663957663956</v>
      </c>
      <c r="N98">
        <f t="shared" si="18"/>
        <v>1.2818089578199738</v>
      </c>
      <c r="O98">
        <f t="shared" si="19"/>
        <v>1.2888655311626576</v>
      </c>
    </row>
    <row r="99" spans="1:15" ht="13.2" x14ac:dyDescent="0.25">
      <c r="A99" s="14">
        <v>16</v>
      </c>
      <c r="B99" s="14" t="s">
        <v>100</v>
      </c>
      <c r="C99" s="14" t="s">
        <v>107</v>
      </c>
      <c r="D99" s="6">
        <v>42522</v>
      </c>
      <c r="E99" s="8">
        <v>18948</v>
      </c>
      <c r="F99" s="8">
        <v>18228</v>
      </c>
      <c r="G99" s="8">
        <f t="shared" si="15"/>
        <v>37176</v>
      </c>
      <c r="H99" s="12">
        <f t="shared" si="11"/>
        <v>0.50968366688185929</v>
      </c>
      <c r="I99" s="12">
        <f t="shared" si="12"/>
        <v>0.49031633311814071</v>
      </c>
      <c r="J99">
        <f t="shared" si="13"/>
        <v>17659.75</v>
      </c>
      <c r="K99">
        <f t="shared" si="16"/>
        <v>17276.958333333332</v>
      </c>
      <c r="L99">
        <f t="shared" si="17"/>
        <v>34936.708333333336</v>
      </c>
      <c r="M99">
        <f t="shared" si="14"/>
        <v>1.0729483712963095</v>
      </c>
      <c r="N99">
        <f t="shared" si="18"/>
        <v>1.055046822960253</v>
      </c>
      <c r="O99">
        <f t="shared" si="19"/>
        <v>1.0640956682381593</v>
      </c>
    </row>
    <row r="100" spans="1:15" ht="13.2" x14ac:dyDescent="0.25">
      <c r="A100" s="14">
        <v>16</v>
      </c>
      <c r="B100" s="14" t="s">
        <v>101</v>
      </c>
      <c r="C100" s="14" t="s">
        <v>107</v>
      </c>
      <c r="D100" s="6">
        <v>42491</v>
      </c>
      <c r="E100" s="8">
        <v>16668</v>
      </c>
      <c r="F100" s="8">
        <v>16748</v>
      </c>
      <c r="G100" s="8">
        <f t="shared" si="15"/>
        <v>33416</v>
      </c>
      <c r="H100" s="12">
        <f t="shared" si="11"/>
        <v>0.49880296863777829</v>
      </c>
      <c r="I100" s="12">
        <f t="shared" si="12"/>
        <v>0.50119703136222171</v>
      </c>
      <c r="J100">
        <f t="shared" si="13"/>
        <v>17599.083333333332</v>
      </c>
      <c r="K100">
        <f t="shared" si="16"/>
        <v>17230.916666666668</v>
      </c>
      <c r="L100">
        <f t="shared" si="17"/>
        <v>34830</v>
      </c>
      <c r="M100">
        <f t="shared" si="14"/>
        <v>0.94709478239870459</v>
      </c>
      <c r="N100">
        <f t="shared" si="18"/>
        <v>0.97197382611681515</v>
      </c>
      <c r="O100">
        <f t="shared" si="19"/>
        <v>0.95940281366637958</v>
      </c>
    </row>
    <row r="101" spans="1:15" ht="13.2" x14ac:dyDescent="0.25">
      <c r="A101" s="14">
        <v>16</v>
      </c>
      <c r="B101" s="14" t="s">
        <v>102</v>
      </c>
      <c r="C101" s="14" t="s">
        <v>107</v>
      </c>
      <c r="D101" s="6">
        <v>42461</v>
      </c>
      <c r="E101" s="8">
        <v>17864</v>
      </c>
      <c r="F101" s="8">
        <v>16973</v>
      </c>
      <c r="G101" s="8">
        <f t="shared" si="15"/>
        <v>34837</v>
      </c>
      <c r="H101" s="12">
        <f t="shared" si="11"/>
        <v>0.51278812756551939</v>
      </c>
      <c r="I101" s="12">
        <f t="shared" si="12"/>
        <v>0.48721187243448061</v>
      </c>
      <c r="J101">
        <f t="shared" si="13"/>
        <v>17556.875</v>
      </c>
      <c r="K101">
        <f t="shared" si="16"/>
        <v>17173.666666666668</v>
      </c>
      <c r="L101">
        <f t="shared" si="17"/>
        <v>34730.541666666664</v>
      </c>
      <c r="M101">
        <f t="shared" si="14"/>
        <v>1.017493147271368</v>
      </c>
      <c r="N101">
        <f t="shared" si="18"/>
        <v>0.98831544418780681</v>
      </c>
      <c r="O101">
        <f t="shared" si="19"/>
        <v>1.0030652655623713</v>
      </c>
    </row>
    <row r="102" spans="1:15" ht="13.2" x14ac:dyDescent="0.25">
      <c r="A102" s="14">
        <v>16</v>
      </c>
      <c r="B102" s="14" t="s">
        <v>103</v>
      </c>
      <c r="C102" s="14" t="s">
        <v>106</v>
      </c>
      <c r="D102" s="6">
        <v>42430</v>
      </c>
      <c r="E102" s="8">
        <v>19975</v>
      </c>
      <c r="F102" s="8">
        <v>19774</v>
      </c>
      <c r="G102" s="8">
        <f t="shared" si="15"/>
        <v>39749</v>
      </c>
      <c r="H102" s="12">
        <f t="shared" si="11"/>
        <v>0.50252836549347157</v>
      </c>
      <c r="I102" s="12">
        <f t="shared" si="12"/>
        <v>0.49747163450652848</v>
      </c>
      <c r="J102">
        <f t="shared" si="13"/>
        <v>17661.541666666668</v>
      </c>
      <c r="K102">
        <f t="shared" si="16"/>
        <v>17285.333333333332</v>
      </c>
      <c r="L102">
        <f t="shared" si="17"/>
        <v>34946.875</v>
      </c>
      <c r="M102">
        <f t="shared" si="14"/>
        <v>1.1309884707120226</v>
      </c>
      <c r="N102">
        <f t="shared" si="18"/>
        <v>1.1439756248071584</v>
      </c>
      <c r="O102">
        <f t="shared" si="19"/>
        <v>1.137412143431995</v>
      </c>
    </row>
    <row r="103" spans="1:15" ht="13.2" x14ac:dyDescent="0.25">
      <c r="A103" s="14">
        <v>16</v>
      </c>
      <c r="B103" s="14" t="s">
        <v>104</v>
      </c>
      <c r="C103" s="14" t="s">
        <v>106</v>
      </c>
      <c r="D103" s="6">
        <v>42401</v>
      </c>
      <c r="E103" s="8">
        <v>13800</v>
      </c>
      <c r="F103" s="8">
        <v>13377</v>
      </c>
      <c r="G103" s="8">
        <f t="shared" si="15"/>
        <v>27177</v>
      </c>
      <c r="H103" s="12">
        <f t="shared" si="11"/>
        <v>0.50778231592891043</v>
      </c>
      <c r="I103" s="12">
        <f t="shared" si="12"/>
        <v>0.49221768407108951</v>
      </c>
      <c r="J103">
        <f t="shared" si="13"/>
        <v>17804.291666666668</v>
      </c>
      <c r="K103">
        <f t="shared" si="16"/>
        <v>17441.166666666668</v>
      </c>
      <c r="L103">
        <f t="shared" si="17"/>
        <v>35245.458333333336</v>
      </c>
      <c r="M103">
        <f t="shared" si="14"/>
        <v>0.77509401993433225</v>
      </c>
      <c r="N103">
        <f t="shared" si="18"/>
        <v>0.76697850870067941</v>
      </c>
      <c r="O103">
        <f t="shared" si="19"/>
        <v>0.77107807034239628</v>
      </c>
    </row>
    <row r="104" spans="1:15" ht="13.2" x14ac:dyDescent="0.25">
      <c r="A104" s="14">
        <v>16</v>
      </c>
      <c r="B104" s="14" t="s">
        <v>105</v>
      </c>
      <c r="C104" s="14" t="s">
        <v>106</v>
      </c>
      <c r="D104" s="6">
        <v>42370</v>
      </c>
      <c r="E104" s="8">
        <v>14346</v>
      </c>
      <c r="F104" s="8">
        <v>12734</v>
      </c>
      <c r="G104" s="8">
        <f t="shared" si="15"/>
        <v>27080</v>
      </c>
      <c r="H104" s="12">
        <f t="shared" si="11"/>
        <v>0.52976366322008861</v>
      </c>
      <c r="I104" s="12">
        <f t="shared" si="12"/>
        <v>0.47023633677991139</v>
      </c>
      <c r="J104">
        <f t="shared" si="13"/>
        <v>17902.833333333332</v>
      </c>
      <c r="K104">
        <f t="shared" si="16"/>
        <v>17550.041666666668</v>
      </c>
      <c r="L104">
        <f t="shared" si="17"/>
        <v>35452.875</v>
      </c>
      <c r="M104">
        <f t="shared" si="14"/>
        <v>0.80132567470698313</v>
      </c>
      <c r="N104">
        <f t="shared" si="18"/>
        <v>0.72558232292895786</v>
      </c>
      <c r="O104">
        <f t="shared" si="19"/>
        <v>0.76383085997962086</v>
      </c>
    </row>
    <row r="105" spans="1:15" ht="13.2" x14ac:dyDescent="0.25">
      <c r="A105" s="14">
        <v>15</v>
      </c>
      <c r="B105" s="14" t="s">
        <v>94</v>
      </c>
      <c r="C105" s="14" t="s">
        <v>109</v>
      </c>
      <c r="D105" s="6">
        <v>42339</v>
      </c>
      <c r="E105" s="8">
        <v>15744</v>
      </c>
      <c r="F105" s="8">
        <v>16998</v>
      </c>
      <c r="G105" s="8">
        <f t="shared" si="15"/>
        <v>32742</v>
      </c>
      <c r="H105" s="12">
        <f t="shared" si="11"/>
        <v>0.48085028403884916</v>
      </c>
      <c r="I105" s="12">
        <f t="shared" si="12"/>
        <v>0.51914971596115078</v>
      </c>
      <c r="J105">
        <f t="shared" si="13"/>
        <v>17930.833333333332</v>
      </c>
      <c r="K105">
        <f t="shared" si="16"/>
        <v>17558.583333333332</v>
      </c>
      <c r="L105">
        <f t="shared" si="17"/>
        <v>35489.416666666664</v>
      </c>
      <c r="M105">
        <f t="shared" si="14"/>
        <v>0.87804061904540598</v>
      </c>
      <c r="N105">
        <f t="shared" si="18"/>
        <v>0.96807354427796477</v>
      </c>
      <c r="O105">
        <f t="shared" si="19"/>
        <v>0.92258490207174448</v>
      </c>
    </row>
    <row r="106" spans="1:15" ht="13.2" x14ac:dyDescent="0.25">
      <c r="A106" s="14">
        <v>15</v>
      </c>
      <c r="B106" s="14" t="s">
        <v>95</v>
      </c>
      <c r="C106" s="14" t="s">
        <v>109</v>
      </c>
      <c r="D106" s="6">
        <v>42309</v>
      </c>
      <c r="E106" s="8">
        <v>12443</v>
      </c>
      <c r="F106" s="8">
        <v>11270</v>
      </c>
      <c r="G106" s="8">
        <f t="shared" si="15"/>
        <v>23713</v>
      </c>
      <c r="H106" s="12">
        <f t="shared" si="11"/>
        <v>0.52473326867119297</v>
      </c>
      <c r="I106" s="12">
        <f t="shared" si="12"/>
        <v>0.47526673132880698</v>
      </c>
      <c r="J106">
        <f t="shared" si="13"/>
        <v>17846.333333333332</v>
      </c>
      <c r="K106">
        <f t="shared" si="16"/>
        <v>17444.833333333332</v>
      </c>
      <c r="L106">
        <f t="shared" si="17"/>
        <v>35291.166666666664</v>
      </c>
      <c r="M106">
        <f t="shared" si="14"/>
        <v>0.69723005659425841</v>
      </c>
      <c r="N106">
        <f t="shared" si="18"/>
        <v>0.64603655332524434</v>
      </c>
      <c r="O106">
        <f t="shared" si="19"/>
        <v>0.6719245136885057</v>
      </c>
    </row>
    <row r="107" spans="1:15" ht="13.2" x14ac:dyDescent="0.25">
      <c r="A107" s="14">
        <v>15</v>
      </c>
      <c r="B107" s="14" t="s">
        <v>96</v>
      </c>
      <c r="C107" s="14" t="s">
        <v>109</v>
      </c>
      <c r="D107" s="6">
        <v>42278</v>
      </c>
      <c r="E107" s="8">
        <v>16722</v>
      </c>
      <c r="F107" s="8">
        <v>16275</v>
      </c>
      <c r="G107" s="8">
        <f t="shared" si="15"/>
        <v>32997</v>
      </c>
      <c r="H107" s="12">
        <f t="shared" si="11"/>
        <v>0.5067733430311846</v>
      </c>
      <c r="I107" s="12">
        <f t="shared" si="12"/>
        <v>0.49322665696881535</v>
      </c>
      <c r="J107">
        <f t="shared" si="13"/>
        <v>17851.5</v>
      </c>
      <c r="K107">
        <f t="shared" si="16"/>
        <v>17479.625</v>
      </c>
      <c r="L107">
        <f t="shared" si="17"/>
        <v>35331.125</v>
      </c>
      <c r="M107">
        <f t="shared" si="14"/>
        <v>0.9367280060499118</v>
      </c>
      <c r="N107">
        <f t="shared" si="18"/>
        <v>0.93108404785571774</v>
      </c>
      <c r="O107">
        <f t="shared" si="19"/>
        <v>0.9339357294736581</v>
      </c>
    </row>
    <row r="108" spans="1:15" ht="13.2" x14ac:dyDescent="0.25">
      <c r="A108" s="14">
        <v>15</v>
      </c>
      <c r="B108" s="14" t="s">
        <v>97</v>
      </c>
      <c r="C108" s="14" t="s">
        <v>108</v>
      </c>
      <c r="D108" s="6">
        <v>42248</v>
      </c>
      <c r="E108" s="8">
        <v>20157</v>
      </c>
      <c r="F108" s="8">
        <v>20898</v>
      </c>
      <c r="G108" s="8">
        <f t="shared" si="15"/>
        <v>41055</v>
      </c>
      <c r="H108" s="12">
        <f t="shared" si="11"/>
        <v>0.49097552064303984</v>
      </c>
      <c r="I108" s="12">
        <f t="shared" si="12"/>
        <v>0.50902447935696016</v>
      </c>
      <c r="J108">
        <f t="shared" si="13"/>
        <v>17855.625</v>
      </c>
      <c r="K108">
        <f t="shared" si="16"/>
        <v>17483.458333333332</v>
      </c>
      <c r="L108">
        <f t="shared" si="17"/>
        <v>35339.083333333336</v>
      </c>
      <c r="M108">
        <f t="shared" si="14"/>
        <v>1.1288879554762155</v>
      </c>
      <c r="N108">
        <f t="shared" si="18"/>
        <v>1.1953012728698318</v>
      </c>
      <c r="O108">
        <f t="shared" si="19"/>
        <v>1.161744904720694</v>
      </c>
    </row>
    <row r="109" spans="1:15" ht="13.2" x14ac:dyDescent="0.25">
      <c r="A109" s="14">
        <v>15</v>
      </c>
      <c r="B109" s="14" t="s">
        <v>98</v>
      </c>
      <c r="C109" s="14" t="s">
        <v>108</v>
      </c>
      <c r="D109" s="6">
        <v>42217</v>
      </c>
      <c r="E109" s="8">
        <v>24750</v>
      </c>
      <c r="F109" s="8">
        <v>24556</v>
      </c>
      <c r="G109" s="8">
        <f t="shared" si="15"/>
        <v>49306</v>
      </c>
      <c r="H109" s="12">
        <f t="shared" si="11"/>
        <v>0.50196730621019758</v>
      </c>
      <c r="I109" s="12">
        <f t="shared" si="12"/>
        <v>0.49803269378980247</v>
      </c>
      <c r="J109">
        <f t="shared" si="13"/>
        <v>17837</v>
      </c>
      <c r="K109">
        <f t="shared" si="16"/>
        <v>17444.875</v>
      </c>
      <c r="L109">
        <f t="shared" si="17"/>
        <v>35281.875</v>
      </c>
      <c r="M109">
        <f t="shared" si="14"/>
        <v>1.3875651735157257</v>
      </c>
      <c r="N109">
        <f t="shared" si="18"/>
        <v>1.4076340472488338</v>
      </c>
      <c r="O109">
        <f t="shared" si="19"/>
        <v>1.3974880870135162</v>
      </c>
    </row>
    <row r="110" spans="1:15" ht="13.2" x14ac:dyDescent="0.25">
      <c r="A110" s="14">
        <v>15</v>
      </c>
      <c r="B110" s="14" t="s">
        <v>99</v>
      </c>
      <c r="C110" s="14" t="s">
        <v>108</v>
      </c>
      <c r="D110" s="6">
        <v>42186</v>
      </c>
      <c r="E110" s="8">
        <v>23981</v>
      </c>
      <c r="F110" s="8">
        <v>23431</v>
      </c>
      <c r="G110" s="8">
        <f t="shared" si="15"/>
        <v>47412</v>
      </c>
      <c r="H110" s="12">
        <f t="shared" si="11"/>
        <v>0.50580021935375008</v>
      </c>
      <c r="I110" s="12">
        <f t="shared" si="12"/>
        <v>0.49419978064624992</v>
      </c>
      <c r="J110">
        <f t="shared" si="13"/>
        <v>17877.125</v>
      </c>
      <c r="K110">
        <f t="shared" si="16"/>
        <v>17485.541666666668</v>
      </c>
      <c r="L110">
        <f t="shared" si="17"/>
        <v>35362.666666666664</v>
      </c>
      <c r="M110">
        <f t="shared" si="14"/>
        <v>1.3414349343085088</v>
      </c>
      <c r="N110">
        <f t="shared" si="18"/>
        <v>1.3400213986317266</v>
      </c>
      <c r="O110">
        <f t="shared" si="19"/>
        <v>1.340735992760727</v>
      </c>
    </row>
    <row r="111" spans="1:15" ht="13.2" x14ac:dyDescent="0.25">
      <c r="A111" s="14">
        <v>15</v>
      </c>
      <c r="B111" s="14" t="s">
        <v>100</v>
      </c>
      <c r="C111" s="14" t="s">
        <v>107</v>
      </c>
      <c r="D111" s="6">
        <v>42156</v>
      </c>
      <c r="E111" s="8">
        <v>18492</v>
      </c>
      <c r="F111" s="8">
        <v>17110</v>
      </c>
      <c r="G111" s="8">
        <f t="shared" si="15"/>
        <v>35602</v>
      </c>
      <c r="H111" s="12">
        <f t="shared" si="11"/>
        <v>0.51940902196505812</v>
      </c>
      <c r="I111" s="12">
        <f t="shared" si="12"/>
        <v>0.48059097803494188</v>
      </c>
      <c r="J111">
        <f t="shared" si="13"/>
        <v>17894.291666666668</v>
      </c>
      <c r="K111">
        <f t="shared" si="16"/>
        <v>17461.875</v>
      </c>
      <c r="L111">
        <f t="shared" si="17"/>
        <v>35356.166666666664</v>
      </c>
      <c r="M111">
        <f t="shared" si="14"/>
        <v>1.0334021790002863</v>
      </c>
      <c r="N111">
        <f t="shared" si="18"/>
        <v>0.97984895665557104</v>
      </c>
      <c r="O111">
        <f t="shared" si="19"/>
        <v>1.006953053922701</v>
      </c>
    </row>
    <row r="112" spans="1:15" ht="13.2" x14ac:dyDescent="0.25">
      <c r="A112" s="14">
        <v>15</v>
      </c>
      <c r="B112" s="14" t="s">
        <v>101</v>
      </c>
      <c r="C112" s="14" t="s">
        <v>107</v>
      </c>
      <c r="D112" s="6">
        <v>42125</v>
      </c>
      <c r="E112" s="8">
        <v>15096</v>
      </c>
      <c r="F112" s="8">
        <v>15136</v>
      </c>
      <c r="G112" s="8">
        <f t="shared" si="15"/>
        <v>30232</v>
      </c>
      <c r="H112" s="12">
        <f t="shared" si="11"/>
        <v>0.49933844932521831</v>
      </c>
      <c r="I112" s="12">
        <f t="shared" si="12"/>
        <v>0.50066155067478169</v>
      </c>
      <c r="J112">
        <f t="shared" si="13"/>
        <v>18055.375</v>
      </c>
      <c r="K112">
        <f t="shared" si="16"/>
        <v>17603.666666666668</v>
      </c>
      <c r="L112">
        <f t="shared" si="17"/>
        <v>35659.041666666664</v>
      </c>
      <c r="M112">
        <f t="shared" si="14"/>
        <v>0.83609451479130181</v>
      </c>
      <c r="N112">
        <f t="shared" si="18"/>
        <v>0.85982087065194746</v>
      </c>
      <c r="O112">
        <f t="shared" si="19"/>
        <v>0.84780741677251104</v>
      </c>
    </row>
    <row r="113" spans="1:15" ht="13.2" x14ac:dyDescent="0.25">
      <c r="A113" s="14">
        <v>15</v>
      </c>
      <c r="B113" s="14" t="s">
        <v>102</v>
      </c>
      <c r="C113" s="14" t="s">
        <v>107</v>
      </c>
      <c r="D113" s="6">
        <v>42095</v>
      </c>
      <c r="E113" s="8">
        <v>19560</v>
      </c>
      <c r="F113" s="8">
        <v>19420</v>
      </c>
      <c r="G113" s="8">
        <f t="shared" si="15"/>
        <v>38980</v>
      </c>
      <c r="H113" s="12">
        <f t="shared" si="11"/>
        <v>0.50179579271421237</v>
      </c>
      <c r="I113" s="12">
        <f t="shared" si="12"/>
        <v>0.49820420728578757</v>
      </c>
      <c r="J113">
        <f t="shared" si="13"/>
        <v>18207.125</v>
      </c>
      <c r="K113">
        <f t="shared" si="16"/>
        <v>17766.958333333332</v>
      </c>
      <c r="L113">
        <f t="shared" si="17"/>
        <v>35974.083333333336</v>
      </c>
      <c r="M113">
        <f t="shared" si="14"/>
        <v>1.074304702142705</v>
      </c>
      <c r="N113">
        <f t="shared" si="18"/>
        <v>1.0930402174448357</v>
      </c>
      <c r="O113">
        <f t="shared" si="19"/>
        <v>1.0835578390924947</v>
      </c>
    </row>
    <row r="114" spans="1:15" ht="13.2" x14ac:dyDescent="0.25">
      <c r="A114" s="14">
        <v>15</v>
      </c>
      <c r="B114" s="14" t="s">
        <v>103</v>
      </c>
      <c r="C114" s="14" t="s">
        <v>106</v>
      </c>
      <c r="D114" s="6">
        <v>42064</v>
      </c>
      <c r="E114" s="8">
        <v>18378</v>
      </c>
      <c r="F114" s="8">
        <v>17419</v>
      </c>
      <c r="G114" s="8">
        <f t="shared" si="15"/>
        <v>35797</v>
      </c>
      <c r="H114" s="12">
        <f t="shared" si="11"/>
        <v>0.51339497723272898</v>
      </c>
      <c r="I114" s="12">
        <f t="shared" si="12"/>
        <v>0.48660502276727102</v>
      </c>
      <c r="J114">
        <f t="shared" si="13"/>
        <v>18157.916666666668</v>
      </c>
      <c r="K114">
        <f t="shared" si="16"/>
        <v>17717.25</v>
      </c>
      <c r="L114">
        <f t="shared" si="17"/>
        <v>35875.166666666664</v>
      </c>
      <c r="M114">
        <f t="shared" si="14"/>
        <v>1.0121205167626608</v>
      </c>
      <c r="N114">
        <f t="shared" si="18"/>
        <v>0.98316612341080023</v>
      </c>
      <c r="O114">
        <f t="shared" si="19"/>
        <v>0.99782114833380575</v>
      </c>
    </row>
    <row r="115" spans="1:15" ht="13.2" x14ac:dyDescent="0.25">
      <c r="A115" s="14">
        <v>15</v>
      </c>
      <c r="B115" s="14" t="s">
        <v>104</v>
      </c>
      <c r="C115" s="14" t="s">
        <v>106</v>
      </c>
      <c r="D115" s="6">
        <v>42036</v>
      </c>
      <c r="E115" s="8">
        <v>14950</v>
      </c>
      <c r="F115" s="8">
        <v>14806</v>
      </c>
      <c r="G115" s="8">
        <f t="shared" si="15"/>
        <v>29756</v>
      </c>
      <c r="H115" s="12">
        <f t="shared" si="11"/>
        <v>0.50241968006452475</v>
      </c>
      <c r="I115" s="12">
        <f t="shared" si="12"/>
        <v>0.49758031993547519</v>
      </c>
      <c r="J115">
        <f t="shared" si="13"/>
        <v>18006.875</v>
      </c>
      <c r="K115">
        <f t="shared" si="16"/>
        <v>17580.916666666668</v>
      </c>
      <c r="L115">
        <f t="shared" si="17"/>
        <v>35587.791666666664</v>
      </c>
      <c r="M115">
        <f t="shared" si="14"/>
        <v>0.83023845059178791</v>
      </c>
      <c r="N115">
        <f t="shared" si="18"/>
        <v>0.84216314090562205</v>
      </c>
      <c r="O115">
        <f t="shared" si="19"/>
        <v>0.8361294310900157</v>
      </c>
    </row>
    <row r="116" spans="1:15" ht="13.2" x14ac:dyDescent="0.25">
      <c r="A116" s="14">
        <v>15</v>
      </c>
      <c r="B116" s="14" t="s">
        <v>105</v>
      </c>
      <c r="C116" s="14" t="s">
        <v>106</v>
      </c>
      <c r="D116" s="6">
        <v>42005</v>
      </c>
      <c r="E116" s="8">
        <v>14159</v>
      </c>
      <c r="F116" s="8">
        <v>12281</v>
      </c>
      <c r="G116" s="8">
        <f t="shared" si="15"/>
        <v>26440</v>
      </c>
      <c r="H116" s="12">
        <f t="shared" si="11"/>
        <v>0.53551437216338882</v>
      </c>
      <c r="I116" s="12">
        <f t="shared" si="12"/>
        <v>0.46448562783661118</v>
      </c>
      <c r="J116">
        <f t="shared" si="13"/>
        <v>17935.125</v>
      </c>
      <c r="K116">
        <f t="shared" si="16"/>
        <v>17541.458333333332</v>
      </c>
      <c r="L116">
        <f t="shared" si="17"/>
        <v>35476.583333333336</v>
      </c>
      <c r="M116">
        <f t="shared" si="14"/>
        <v>0.78945644371031709</v>
      </c>
      <c r="N116">
        <f t="shared" si="18"/>
        <v>0.70011282794332474</v>
      </c>
      <c r="O116">
        <f t="shared" si="19"/>
        <v>0.7452803374996182</v>
      </c>
    </row>
    <row r="117" spans="1:15" ht="13.2" x14ac:dyDescent="0.25">
      <c r="A117" s="14">
        <v>14</v>
      </c>
      <c r="B117" s="14" t="s">
        <v>94</v>
      </c>
      <c r="C117" s="14" t="s">
        <v>109</v>
      </c>
      <c r="D117" s="6">
        <v>41974</v>
      </c>
      <c r="E117" s="8">
        <v>16343</v>
      </c>
      <c r="F117" s="8">
        <v>16883</v>
      </c>
      <c r="G117" s="8">
        <f t="shared" si="15"/>
        <v>33226</v>
      </c>
      <c r="H117" s="12">
        <f t="shared" si="11"/>
        <v>0.49187383374465782</v>
      </c>
      <c r="I117" s="12">
        <f t="shared" si="12"/>
        <v>0.50812616625534224</v>
      </c>
      <c r="J117">
        <f t="shared" si="13"/>
        <v>17897.541666666668</v>
      </c>
      <c r="K117">
        <f t="shared" si="16"/>
        <v>17499.375</v>
      </c>
      <c r="L117">
        <f t="shared" si="17"/>
        <v>35396.916666666664</v>
      </c>
      <c r="M117">
        <f t="shared" si="14"/>
        <v>0.91314216803518167</v>
      </c>
      <c r="N117">
        <f t="shared" si="18"/>
        <v>0.96477731347548124</v>
      </c>
      <c r="O117">
        <f t="shared" si="19"/>
        <v>0.93866932854321117</v>
      </c>
    </row>
    <row r="118" spans="1:15" ht="13.2" x14ac:dyDescent="0.25">
      <c r="A118" s="14">
        <v>14</v>
      </c>
      <c r="B118" s="14" t="s">
        <v>95</v>
      </c>
      <c r="C118" s="14" t="s">
        <v>109</v>
      </c>
      <c r="D118" s="6">
        <v>41944</v>
      </c>
      <c r="E118" s="8">
        <v>15710</v>
      </c>
      <c r="F118" s="8">
        <v>14788</v>
      </c>
      <c r="G118" s="8">
        <f t="shared" si="15"/>
        <v>30498</v>
      </c>
      <c r="H118" s="12">
        <f t="shared" si="11"/>
        <v>0.51511574529477344</v>
      </c>
      <c r="I118" s="12">
        <f t="shared" si="12"/>
        <v>0.48488425470522656</v>
      </c>
      <c r="J118">
        <f t="shared" si="13"/>
        <v>17839.666666666668</v>
      </c>
      <c r="K118">
        <f t="shared" si="16"/>
        <v>17429.416666666668</v>
      </c>
      <c r="L118">
        <f t="shared" si="17"/>
        <v>35269.083333333336</v>
      </c>
      <c r="M118">
        <f t="shared" si="14"/>
        <v>0.88062183523608428</v>
      </c>
      <c r="N118">
        <f t="shared" si="18"/>
        <v>0.84845065574005629</v>
      </c>
      <c r="O118">
        <f t="shared" si="19"/>
        <v>0.86472335307835702</v>
      </c>
    </row>
    <row r="119" spans="1:15" ht="13.2" x14ac:dyDescent="0.25">
      <c r="A119" s="14">
        <v>14</v>
      </c>
      <c r="B119" s="14" t="s">
        <v>96</v>
      </c>
      <c r="C119" s="14" t="s">
        <v>109</v>
      </c>
      <c r="D119" s="6">
        <v>41913</v>
      </c>
      <c r="E119" s="8">
        <v>17097</v>
      </c>
      <c r="F119" s="8">
        <v>16676</v>
      </c>
      <c r="G119" s="8">
        <f t="shared" si="15"/>
        <v>33773</v>
      </c>
      <c r="H119" s="12">
        <f t="shared" si="11"/>
        <v>0.50623278950641049</v>
      </c>
      <c r="I119" s="12">
        <f t="shared" si="12"/>
        <v>0.49376721049358957</v>
      </c>
      <c r="J119">
        <f t="shared" si="13"/>
        <v>17767.291666666668</v>
      </c>
      <c r="K119">
        <f t="shared" si="16"/>
        <v>17376.625</v>
      </c>
      <c r="L119">
        <f t="shared" si="17"/>
        <v>35143.916666666664</v>
      </c>
      <c r="M119">
        <f t="shared" si="14"/>
        <v>0.96227384121102677</v>
      </c>
      <c r="N119">
        <f t="shared" si="18"/>
        <v>0.9596800299252588</v>
      </c>
      <c r="O119">
        <f t="shared" si="19"/>
        <v>0.96099135222549192</v>
      </c>
    </row>
    <row r="120" spans="1:15" ht="13.2" x14ac:dyDescent="0.25">
      <c r="A120" s="14">
        <v>14</v>
      </c>
      <c r="B120" s="14" t="s">
        <v>97</v>
      </c>
      <c r="C120" s="14" t="s">
        <v>108</v>
      </c>
      <c r="D120" s="6">
        <v>41883</v>
      </c>
      <c r="E120" s="8">
        <v>18601</v>
      </c>
      <c r="F120" s="8">
        <v>19304</v>
      </c>
      <c r="G120" s="8">
        <f t="shared" si="15"/>
        <v>37905</v>
      </c>
      <c r="H120" s="12">
        <f t="shared" si="11"/>
        <v>0.49072681704260651</v>
      </c>
      <c r="I120" s="12">
        <f t="shared" si="12"/>
        <v>0.50927318295739343</v>
      </c>
      <c r="J120">
        <f t="shared" si="13"/>
        <v>17672.083333333332</v>
      </c>
      <c r="K120">
        <f t="shared" si="16"/>
        <v>17321.541666666668</v>
      </c>
      <c r="L120">
        <f t="shared" si="17"/>
        <v>34993.625</v>
      </c>
      <c r="M120">
        <f t="shared" si="14"/>
        <v>1.0525640723363121</v>
      </c>
      <c r="N120">
        <f t="shared" si="18"/>
        <v>1.1144504554781256</v>
      </c>
      <c r="O120">
        <f t="shared" si="19"/>
        <v>1.0831972966504613</v>
      </c>
    </row>
    <row r="121" spans="1:15" ht="13.2" x14ac:dyDescent="0.25">
      <c r="A121" s="14">
        <v>14</v>
      </c>
      <c r="B121" s="14" t="s">
        <v>98</v>
      </c>
      <c r="C121" s="14" t="s">
        <v>108</v>
      </c>
      <c r="D121" s="6">
        <v>41852</v>
      </c>
      <c r="E121" s="8">
        <v>22681</v>
      </c>
      <c r="F121" s="8">
        <v>22878</v>
      </c>
      <c r="G121" s="8">
        <f t="shared" ref="G121:G152" si="20">E121+F121</f>
        <v>45559</v>
      </c>
      <c r="H121" s="12">
        <f t="shared" si="11"/>
        <v>0.49783796834873462</v>
      </c>
      <c r="I121" s="12">
        <f t="shared" si="12"/>
        <v>0.50216203165126538</v>
      </c>
      <c r="J121">
        <f t="shared" si="13"/>
        <v>17608.958333333332</v>
      </c>
      <c r="K121">
        <f t="shared" si="16"/>
        <v>17281.208333333332</v>
      </c>
      <c r="L121">
        <f t="shared" si="17"/>
        <v>34890.166666666664</v>
      </c>
      <c r="M121">
        <f t="shared" si="14"/>
        <v>1.2880375755711464</v>
      </c>
      <c r="N121">
        <f t="shared" si="18"/>
        <v>1.3238657597727783</v>
      </c>
      <c r="O121">
        <f t="shared" si="19"/>
        <v>1.3057833869141737</v>
      </c>
    </row>
    <row r="122" spans="1:15" ht="13.2" x14ac:dyDescent="0.25">
      <c r="A122" s="14">
        <v>14</v>
      </c>
      <c r="B122" s="14" t="s">
        <v>99</v>
      </c>
      <c r="C122" s="14" t="s">
        <v>108</v>
      </c>
      <c r="D122" s="6">
        <v>41821</v>
      </c>
      <c r="E122" s="8">
        <v>24328</v>
      </c>
      <c r="F122" s="8">
        <v>24162</v>
      </c>
      <c r="G122" s="8">
        <f t="shared" si="20"/>
        <v>48490</v>
      </c>
      <c r="H122" s="12">
        <f t="shared" si="11"/>
        <v>0.50171169313260466</v>
      </c>
      <c r="I122" s="12">
        <f t="shared" si="12"/>
        <v>0.49828830686739534</v>
      </c>
      <c r="J122">
        <f t="shared" si="13"/>
        <v>17558.541666666668</v>
      </c>
      <c r="K122">
        <f t="shared" si="16"/>
        <v>17218.125</v>
      </c>
      <c r="L122">
        <f t="shared" si="17"/>
        <v>34776.666666666664</v>
      </c>
      <c r="M122">
        <f t="shared" si="14"/>
        <v>1.3855364791590037</v>
      </c>
      <c r="N122">
        <f t="shared" si="18"/>
        <v>1.4032886856147229</v>
      </c>
      <c r="O122">
        <f t="shared" si="19"/>
        <v>1.3943256973066234</v>
      </c>
    </row>
    <row r="123" spans="1:15" ht="13.2" x14ac:dyDescent="0.25">
      <c r="A123" s="14">
        <v>14</v>
      </c>
      <c r="B123" s="14" t="s">
        <v>100</v>
      </c>
      <c r="C123" s="14" t="s">
        <v>107</v>
      </c>
      <c r="D123" s="6">
        <v>41791</v>
      </c>
      <c r="E123" s="8">
        <v>17243</v>
      </c>
      <c r="F123" s="8">
        <v>15369</v>
      </c>
      <c r="G123" s="8">
        <f t="shared" si="20"/>
        <v>32612</v>
      </c>
      <c r="H123" s="12">
        <f t="shared" si="11"/>
        <v>0.52873175518214155</v>
      </c>
      <c r="I123" s="12">
        <f t="shared" si="12"/>
        <v>0.47126824481785845</v>
      </c>
      <c r="J123">
        <f t="shared" si="13"/>
        <v>17491.708333333332</v>
      </c>
      <c r="K123">
        <f t="shared" si="16"/>
        <v>17191.416666666668</v>
      </c>
      <c r="L123">
        <f t="shared" si="17"/>
        <v>34683.125</v>
      </c>
      <c r="M123">
        <f t="shared" si="14"/>
        <v>0.98578135831024705</v>
      </c>
      <c r="N123">
        <f t="shared" si="18"/>
        <v>0.8939926416768057</v>
      </c>
      <c r="O123">
        <f t="shared" si="19"/>
        <v>0.94028436018957351</v>
      </c>
    </row>
    <row r="124" spans="1:15" ht="13.2" x14ac:dyDescent="0.25">
      <c r="A124" s="14">
        <v>14</v>
      </c>
      <c r="B124" s="14" t="s">
        <v>101</v>
      </c>
      <c r="C124" s="14" t="s">
        <v>107</v>
      </c>
      <c r="D124" s="6">
        <v>41760</v>
      </c>
      <c r="E124" s="8">
        <v>14956</v>
      </c>
      <c r="F124" s="8">
        <v>15198</v>
      </c>
      <c r="G124" s="8">
        <f t="shared" si="20"/>
        <v>30154</v>
      </c>
      <c r="H124" s="12">
        <f t="shared" si="11"/>
        <v>0.49598726537109505</v>
      </c>
      <c r="I124" s="12">
        <f t="shared" si="12"/>
        <v>0.50401273462890495</v>
      </c>
      <c r="J124">
        <f t="shared" si="13"/>
        <v>17469.208333333332</v>
      </c>
      <c r="K124">
        <f t="shared" si="16"/>
        <v>17210.375</v>
      </c>
      <c r="L124">
        <f t="shared" si="17"/>
        <v>34679.583333333336</v>
      </c>
      <c r="M124">
        <f t="shared" si="14"/>
        <v>0.85613496127710431</v>
      </c>
      <c r="N124">
        <f t="shared" si="18"/>
        <v>0.88307198419557975</v>
      </c>
      <c r="O124">
        <f t="shared" si="19"/>
        <v>0.86950294962213592</v>
      </c>
    </row>
    <row r="125" spans="1:15" ht="13.2" x14ac:dyDescent="0.25">
      <c r="A125" s="14">
        <v>14</v>
      </c>
      <c r="B125" s="14" t="s">
        <v>102</v>
      </c>
      <c r="C125" s="14" t="s">
        <v>107</v>
      </c>
      <c r="D125" s="6">
        <v>41730</v>
      </c>
      <c r="E125" s="8">
        <v>17963</v>
      </c>
      <c r="F125" s="8">
        <v>18091</v>
      </c>
      <c r="G125" s="8">
        <f t="shared" si="20"/>
        <v>36054</v>
      </c>
      <c r="H125" s="12">
        <f t="shared" si="11"/>
        <v>0.49822488489487993</v>
      </c>
      <c r="I125" s="12">
        <f t="shared" si="12"/>
        <v>0.50177511510512007</v>
      </c>
      <c r="J125">
        <f t="shared" si="13"/>
        <v>17450.458333333332</v>
      </c>
      <c r="K125">
        <f t="shared" si="16"/>
        <v>17211.083333333332</v>
      </c>
      <c r="L125">
        <f t="shared" si="17"/>
        <v>34661.541666666664</v>
      </c>
      <c r="M125">
        <f t="shared" si="14"/>
        <v>1.0293712438307494</v>
      </c>
      <c r="N125">
        <f t="shared" si="18"/>
        <v>1.0511250018156906</v>
      </c>
      <c r="O125">
        <f t="shared" si="19"/>
        <v>1.04017300634589</v>
      </c>
    </row>
    <row r="126" spans="1:15" ht="13.2" x14ac:dyDescent="0.25">
      <c r="A126" s="14">
        <v>14</v>
      </c>
      <c r="B126" s="14" t="s">
        <v>103</v>
      </c>
      <c r="C126" s="14" t="s">
        <v>106</v>
      </c>
      <c r="D126" s="6">
        <v>41699</v>
      </c>
      <c r="E126" s="8">
        <v>17690</v>
      </c>
      <c r="F126" s="8">
        <v>17426</v>
      </c>
      <c r="G126" s="8">
        <f t="shared" si="20"/>
        <v>35116</v>
      </c>
      <c r="H126" s="12">
        <f t="shared" si="11"/>
        <v>0.50375897026996241</v>
      </c>
      <c r="I126" s="12">
        <f t="shared" si="12"/>
        <v>0.49624102973003759</v>
      </c>
      <c r="J126">
        <f t="shared" si="13"/>
        <v>17405.375</v>
      </c>
      <c r="K126">
        <f t="shared" si="16"/>
        <v>17202.416666666668</v>
      </c>
      <c r="L126">
        <f t="shared" si="17"/>
        <v>34607.791666666664</v>
      </c>
      <c r="M126">
        <f t="shared" si="14"/>
        <v>1.0163527071378813</v>
      </c>
      <c r="N126">
        <f t="shared" si="18"/>
        <v>1.0129972048500937</v>
      </c>
      <c r="O126">
        <f t="shared" si="19"/>
        <v>1.0146847952110978</v>
      </c>
    </row>
    <row r="127" spans="1:15" ht="13.2" x14ac:dyDescent="0.25">
      <c r="A127" s="14">
        <v>14</v>
      </c>
      <c r="B127" s="14" t="s">
        <v>104</v>
      </c>
      <c r="C127" s="14" t="s">
        <v>106</v>
      </c>
      <c r="D127" s="6">
        <v>41671</v>
      </c>
      <c r="E127" s="8">
        <v>14123</v>
      </c>
      <c r="F127" s="8">
        <v>13831</v>
      </c>
      <c r="G127" s="8">
        <f t="shared" si="20"/>
        <v>27954</v>
      </c>
      <c r="H127" s="12">
        <f t="shared" si="11"/>
        <v>0.50522286613722545</v>
      </c>
      <c r="I127" s="12">
        <f t="shared" si="12"/>
        <v>0.49477713386277455</v>
      </c>
      <c r="J127">
        <f t="shared" si="13"/>
        <v>17520.333333333332</v>
      </c>
      <c r="K127">
        <f t="shared" si="16"/>
        <v>17304.625</v>
      </c>
      <c r="L127">
        <f t="shared" si="17"/>
        <v>34824.958333333336</v>
      </c>
      <c r="M127">
        <f t="shared" si="14"/>
        <v>0.80609196933087279</v>
      </c>
      <c r="N127">
        <f t="shared" si="18"/>
        <v>0.79926609215744349</v>
      </c>
      <c r="O127">
        <f t="shared" si="19"/>
        <v>0.80270017073482969</v>
      </c>
    </row>
    <row r="128" spans="1:15" ht="13.2" x14ac:dyDescent="0.25">
      <c r="A128" s="14">
        <v>14</v>
      </c>
      <c r="B128" s="14" t="s">
        <v>105</v>
      </c>
      <c r="C128" s="14" t="s">
        <v>106</v>
      </c>
      <c r="D128" s="6">
        <v>41640</v>
      </c>
      <c r="E128" s="8">
        <v>13776</v>
      </c>
      <c r="F128" s="8">
        <v>11742</v>
      </c>
      <c r="G128" s="8">
        <f t="shared" si="20"/>
        <v>25518</v>
      </c>
      <c r="H128" s="12">
        <f t="shared" si="11"/>
        <v>0.53985422055019983</v>
      </c>
      <c r="I128" s="12">
        <f t="shared" si="12"/>
        <v>0.46014577944980012</v>
      </c>
      <c r="J128">
        <f t="shared" si="13"/>
        <v>17606.375</v>
      </c>
      <c r="K128">
        <f t="shared" si="16"/>
        <v>17364.083333333332</v>
      </c>
      <c r="L128">
        <f t="shared" si="17"/>
        <v>34970.458333333336</v>
      </c>
      <c r="M128">
        <f t="shared" si="14"/>
        <v>0.78244385911353131</v>
      </c>
      <c r="N128">
        <f t="shared" si="18"/>
        <v>0.67622343054869016</v>
      </c>
      <c r="O128">
        <f t="shared" si="19"/>
        <v>0.72970161719832571</v>
      </c>
    </row>
    <row r="129" spans="1:15" ht="13.2" x14ac:dyDescent="0.25">
      <c r="A129" s="14">
        <v>13</v>
      </c>
      <c r="B129" s="14" t="s">
        <v>94</v>
      </c>
      <c r="C129" s="14" t="s">
        <v>109</v>
      </c>
      <c r="D129" s="6">
        <v>41609</v>
      </c>
      <c r="E129" s="8">
        <v>15122</v>
      </c>
      <c r="F129" s="8">
        <v>16781</v>
      </c>
      <c r="G129" s="8">
        <f t="shared" si="20"/>
        <v>31903</v>
      </c>
      <c r="H129" s="12">
        <f t="shared" si="11"/>
        <v>0.47399931040967935</v>
      </c>
      <c r="I129" s="12">
        <f t="shared" si="12"/>
        <v>0.52600068959032065</v>
      </c>
      <c r="J129">
        <f t="shared" si="13"/>
        <v>17653.375</v>
      </c>
      <c r="K129">
        <f t="shared" si="16"/>
        <v>17443.25</v>
      </c>
      <c r="L129">
        <f t="shared" si="17"/>
        <v>35096.625</v>
      </c>
      <c r="M129">
        <f t="shared" si="14"/>
        <v>0.85660673950448574</v>
      </c>
      <c r="N129">
        <f t="shared" si="18"/>
        <v>0.96203402462270504</v>
      </c>
      <c r="O129">
        <f t="shared" si="19"/>
        <v>0.90900478322345812</v>
      </c>
    </row>
    <row r="130" spans="1:15" ht="13.2" x14ac:dyDescent="0.25">
      <c r="A130" s="14">
        <v>13</v>
      </c>
      <c r="B130" s="14" t="s">
        <v>95</v>
      </c>
      <c r="C130" s="14" t="s">
        <v>109</v>
      </c>
      <c r="D130" s="6">
        <v>41579</v>
      </c>
      <c r="E130" s="8">
        <v>16391</v>
      </c>
      <c r="F130" s="8">
        <v>15345</v>
      </c>
      <c r="G130" s="8">
        <f t="shared" si="20"/>
        <v>31736</v>
      </c>
      <c r="H130" s="12">
        <f t="shared" si="11"/>
        <v>0.51647970758759765</v>
      </c>
      <c r="I130" s="12">
        <f t="shared" si="12"/>
        <v>0.4835202924124023</v>
      </c>
      <c r="J130">
        <f t="shared" si="13"/>
        <v>17797.458333333332</v>
      </c>
      <c r="K130">
        <f t="shared" si="16"/>
        <v>17646.583333333332</v>
      </c>
      <c r="L130">
        <f t="shared" si="17"/>
        <v>35444.041666666664</v>
      </c>
      <c r="M130">
        <f t="shared" si="14"/>
        <v>0.92097420277708197</v>
      </c>
      <c r="N130">
        <f t="shared" si="18"/>
        <v>0.86957343017297972</v>
      </c>
      <c r="O130">
        <f t="shared" si="19"/>
        <v>0.89538321556161893</v>
      </c>
    </row>
    <row r="131" spans="1:15" ht="13.2" x14ac:dyDescent="0.25">
      <c r="A131" s="14">
        <v>13</v>
      </c>
      <c r="B131" s="14" t="s">
        <v>96</v>
      </c>
      <c r="C131" s="14" t="s">
        <v>109</v>
      </c>
      <c r="D131" s="6">
        <v>41548</v>
      </c>
      <c r="E131" s="8">
        <v>15966</v>
      </c>
      <c r="F131" s="8">
        <v>16136</v>
      </c>
      <c r="G131" s="8">
        <f t="shared" si="20"/>
        <v>32102</v>
      </c>
      <c r="H131" s="12">
        <f t="shared" si="11"/>
        <v>0.49735218989471058</v>
      </c>
      <c r="I131" s="12">
        <f t="shared" si="12"/>
        <v>0.50264781010528936</v>
      </c>
      <c r="J131">
        <f t="shared" si="13"/>
        <v>17960.416666666668</v>
      </c>
      <c r="K131">
        <f t="shared" si="16"/>
        <v>17862.916666666668</v>
      </c>
      <c r="L131">
        <f t="shared" si="17"/>
        <v>35823.333333333336</v>
      </c>
      <c r="M131">
        <f t="shared" si="14"/>
        <v>0.8889548776244055</v>
      </c>
      <c r="N131">
        <f t="shared" si="18"/>
        <v>0.9033239252641645</v>
      </c>
      <c r="O131">
        <f t="shared" si="19"/>
        <v>0.89611984739927419</v>
      </c>
    </row>
    <row r="132" spans="1:15" ht="13.2" x14ac:dyDescent="0.25">
      <c r="A132" s="14">
        <v>13</v>
      </c>
      <c r="B132" s="14" t="s">
        <v>97</v>
      </c>
      <c r="C132" s="14" t="s">
        <v>108</v>
      </c>
      <c r="D132" s="6">
        <v>41518</v>
      </c>
      <c r="E132" s="8">
        <v>18650</v>
      </c>
      <c r="F132" s="8">
        <v>19636</v>
      </c>
      <c r="G132" s="8">
        <f t="shared" si="20"/>
        <v>38286</v>
      </c>
      <c r="H132" s="12">
        <f t="shared" si="11"/>
        <v>0.48712323042365357</v>
      </c>
      <c r="I132" s="12">
        <f t="shared" si="12"/>
        <v>0.51287676957634643</v>
      </c>
      <c r="J132">
        <f t="shared" si="13"/>
        <v>18262.791666666668</v>
      </c>
      <c r="K132">
        <f t="shared" si="16"/>
        <v>18173.25</v>
      </c>
      <c r="L132">
        <f t="shared" si="17"/>
        <v>36436.041666666664</v>
      </c>
      <c r="M132">
        <f t="shared" si="14"/>
        <v>1.0212020341906471</v>
      </c>
      <c r="N132">
        <f t="shared" si="18"/>
        <v>1.080489180526323</v>
      </c>
      <c r="O132">
        <f t="shared" si="19"/>
        <v>1.0507727582007285</v>
      </c>
    </row>
    <row r="133" spans="1:15" ht="13.2" x14ac:dyDescent="0.25">
      <c r="A133" s="14">
        <v>13</v>
      </c>
      <c r="B133" s="14" t="s">
        <v>98</v>
      </c>
      <c r="C133" s="14" t="s">
        <v>108</v>
      </c>
      <c r="D133" s="6">
        <v>41487</v>
      </c>
      <c r="E133" s="8">
        <v>25391</v>
      </c>
      <c r="F133" s="8">
        <v>24999</v>
      </c>
      <c r="G133" s="8">
        <f t="shared" si="20"/>
        <v>50390</v>
      </c>
      <c r="H133" s="12">
        <f t="shared" ref="H133:H196" si="21">E133/G133</f>
        <v>0.50388966064695373</v>
      </c>
      <c r="I133" s="12">
        <f t="shared" ref="I133:I196" si="22">F133/G133</f>
        <v>0.49611033935304621</v>
      </c>
      <c r="J133">
        <f t="shared" si="13"/>
        <v>18599.416666666668</v>
      </c>
      <c r="K133">
        <f t="shared" si="16"/>
        <v>18497.708333333332</v>
      </c>
      <c r="L133">
        <f t="shared" si="17"/>
        <v>37097.125</v>
      </c>
      <c r="M133">
        <f t="shared" si="14"/>
        <v>1.3651503407364924</v>
      </c>
      <c r="N133">
        <f t="shared" si="18"/>
        <v>1.3514647084661389</v>
      </c>
      <c r="O133">
        <f t="shared" si="19"/>
        <v>1.358326285392736</v>
      </c>
    </row>
    <row r="134" spans="1:15" ht="13.2" x14ac:dyDescent="0.25">
      <c r="A134" s="14">
        <v>13</v>
      </c>
      <c r="B134" s="14" t="s">
        <v>99</v>
      </c>
      <c r="C134" s="14" t="s">
        <v>108</v>
      </c>
      <c r="D134" s="6">
        <v>41456</v>
      </c>
      <c r="E134" s="8">
        <v>23683</v>
      </c>
      <c r="F134" s="8">
        <v>23468</v>
      </c>
      <c r="G134" s="8">
        <f t="shared" si="20"/>
        <v>47151</v>
      </c>
      <c r="H134" s="12">
        <f t="shared" si="21"/>
        <v>0.50227990922780008</v>
      </c>
      <c r="I134" s="12">
        <f t="shared" si="22"/>
        <v>0.49772009077219997</v>
      </c>
      <c r="J134">
        <f t="shared" si="13"/>
        <v>18930.875</v>
      </c>
      <c r="K134">
        <f t="shared" si="16"/>
        <v>18838.208333333332</v>
      </c>
      <c r="L134">
        <f t="shared" si="17"/>
        <v>37769.083333333336</v>
      </c>
      <c r="M134">
        <f t="shared" si="14"/>
        <v>1.2510251110949706</v>
      </c>
      <c r="N134">
        <f t="shared" si="18"/>
        <v>1.245766029589686</v>
      </c>
      <c r="O134">
        <f t="shared" si="19"/>
        <v>1.2484020219359309</v>
      </c>
    </row>
    <row r="135" spans="1:15" ht="13.2" x14ac:dyDescent="0.25">
      <c r="A135" s="14">
        <v>13</v>
      </c>
      <c r="B135" s="14" t="s">
        <v>100</v>
      </c>
      <c r="C135" s="14" t="s">
        <v>107</v>
      </c>
      <c r="D135" s="6">
        <v>41426</v>
      </c>
      <c r="E135" s="8">
        <v>19016</v>
      </c>
      <c r="F135" s="8">
        <v>17963</v>
      </c>
      <c r="G135" s="8">
        <f t="shared" si="20"/>
        <v>36979</v>
      </c>
      <c r="H135" s="12">
        <f t="shared" si="21"/>
        <v>0.51423781064928742</v>
      </c>
      <c r="I135" s="12">
        <f t="shared" si="22"/>
        <v>0.48576218935071258</v>
      </c>
      <c r="J135">
        <f t="shared" si="13"/>
        <v>19263.625</v>
      </c>
      <c r="K135">
        <f t="shared" si="16"/>
        <v>19177.416666666668</v>
      </c>
      <c r="L135">
        <f t="shared" si="17"/>
        <v>38441.041666666664</v>
      </c>
      <c r="M135">
        <f t="shared" si="14"/>
        <v>0.98714546197821018</v>
      </c>
      <c r="N135">
        <f t="shared" si="18"/>
        <v>0.93667464769759567</v>
      </c>
      <c r="O135">
        <f t="shared" si="19"/>
        <v>0.96196664805952847</v>
      </c>
    </row>
    <row r="136" spans="1:15" ht="13.2" x14ac:dyDescent="0.25">
      <c r="A136" s="14">
        <v>13</v>
      </c>
      <c r="B136" s="14" t="s">
        <v>101</v>
      </c>
      <c r="C136" s="14" t="s">
        <v>107</v>
      </c>
      <c r="D136" s="6">
        <v>41395</v>
      </c>
      <c r="E136" s="8">
        <v>16641</v>
      </c>
      <c r="F136" s="8">
        <v>17484</v>
      </c>
      <c r="G136" s="8">
        <f t="shared" si="20"/>
        <v>34125</v>
      </c>
      <c r="H136" s="12">
        <f t="shared" si="21"/>
        <v>0.48764835164835163</v>
      </c>
      <c r="I136" s="12">
        <f t="shared" si="22"/>
        <v>0.51235164835164837</v>
      </c>
      <c r="J136">
        <f t="shared" si="13"/>
        <v>19515.875</v>
      </c>
      <c r="K136">
        <f t="shared" si="16"/>
        <v>19432</v>
      </c>
      <c r="L136">
        <f t="shared" si="17"/>
        <v>38947.875</v>
      </c>
      <c r="M136">
        <f t="shared" si="14"/>
        <v>0.85269043791272492</v>
      </c>
      <c r="N136">
        <f t="shared" si="18"/>
        <v>0.89975298476739396</v>
      </c>
      <c r="O136">
        <f t="shared" si="19"/>
        <v>0.87617103628888615</v>
      </c>
    </row>
    <row r="137" spans="1:15" ht="13.2" x14ac:dyDescent="0.25">
      <c r="A137" s="14">
        <v>13</v>
      </c>
      <c r="B137" s="14" t="s">
        <v>102</v>
      </c>
      <c r="C137" s="14" t="s">
        <v>107</v>
      </c>
      <c r="D137" s="6">
        <v>41365</v>
      </c>
      <c r="E137" s="8">
        <v>20189</v>
      </c>
      <c r="F137" s="8">
        <v>20997</v>
      </c>
      <c r="G137" s="8">
        <f t="shared" si="20"/>
        <v>41186</v>
      </c>
      <c r="H137" s="12">
        <f t="shared" si="21"/>
        <v>0.49019084154809889</v>
      </c>
      <c r="I137" s="12">
        <f t="shared" si="22"/>
        <v>0.50980915845190111</v>
      </c>
      <c r="J137">
        <f t="shared" si="13"/>
        <v>20011.166666666668</v>
      </c>
      <c r="K137">
        <f t="shared" si="16"/>
        <v>19964.25</v>
      </c>
      <c r="L137">
        <f t="shared" si="17"/>
        <v>39975.416666666664</v>
      </c>
      <c r="M137">
        <f t="shared" si="14"/>
        <v>1.0088867049230845</v>
      </c>
      <c r="N137">
        <f t="shared" si="18"/>
        <v>1.0517299673165783</v>
      </c>
      <c r="O137">
        <f t="shared" si="19"/>
        <v>1.0302831948801869</v>
      </c>
    </row>
    <row r="138" spans="1:15" ht="13.2" x14ac:dyDescent="0.25">
      <c r="A138" s="14">
        <v>13</v>
      </c>
      <c r="B138" s="14" t="s">
        <v>103</v>
      </c>
      <c r="C138" s="14" t="s">
        <v>106</v>
      </c>
      <c r="D138" s="6">
        <v>41334</v>
      </c>
      <c r="E138" s="8">
        <v>22721</v>
      </c>
      <c r="F138" s="8">
        <v>21968</v>
      </c>
      <c r="G138" s="8">
        <f t="shared" si="20"/>
        <v>44689</v>
      </c>
      <c r="H138" s="12">
        <f t="shared" si="21"/>
        <v>0.50842489203159613</v>
      </c>
      <c r="I138" s="12">
        <f t="shared" si="22"/>
        <v>0.49157510796840387</v>
      </c>
      <c r="J138">
        <f t="shared" si="13"/>
        <v>20507.208333333332</v>
      </c>
      <c r="K138">
        <f t="shared" si="16"/>
        <v>20521.166666666668</v>
      </c>
      <c r="L138">
        <f t="shared" si="17"/>
        <v>41028.375</v>
      </c>
      <c r="M138">
        <f t="shared" si="14"/>
        <v>1.1079518787093157</v>
      </c>
      <c r="N138">
        <f t="shared" si="18"/>
        <v>1.0705044385065825</v>
      </c>
      <c r="O138">
        <f t="shared" si="19"/>
        <v>1.0892217885792455</v>
      </c>
    </row>
    <row r="139" spans="1:15" ht="13.2" x14ac:dyDescent="0.25">
      <c r="A139" s="14">
        <v>13</v>
      </c>
      <c r="B139" s="14" t="s">
        <v>104</v>
      </c>
      <c r="C139" s="14" t="s">
        <v>106</v>
      </c>
      <c r="D139" s="6">
        <v>41306</v>
      </c>
      <c r="E139" s="8">
        <v>17171</v>
      </c>
      <c r="F139" s="8">
        <v>17076</v>
      </c>
      <c r="G139" s="8">
        <f t="shared" si="20"/>
        <v>34247</v>
      </c>
      <c r="H139" s="12">
        <f t="shared" si="21"/>
        <v>0.50138698280141325</v>
      </c>
      <c r="I139" s="12">
        <f t="shared" si="22"/>
        <v>0.49861301719858675</v>
      </c>
      <c r="J139">
        <f t="shared" si="13"/>
        <v>20769.833333333332</v>
      </c>
      <c r="K139">
        <f t="shared" si="16"/>
        <v>20841.25</v>
      </c>
      <c r="L139">
        <f t="shared" si="17"/>
        <v>41611.083333333336</v>
      </c>
      <c r="M139">
        <f t="shared" si="14"/>
        <v>0.82672786653720542</v>
      </c>
      <c r="N139">
        <f t="shared" si="18"/>
        <v>0.81933665207221251</v>
      </c>
      <c r="O139">
        <f t="shared" si="19"/>
        <v>0.82302591657270796</v>
      </c>
    </row>
    <row r="140" spans="1:15" ht="13.2" x14ac:dyDescent="0.25">
      <c r="A140" s="14">
        <v>13</v>
      </c>
      <c r="B140" s="14" t="s">
        <v>105</v>
      </c>
      <c r="C140" s="14" t="s">
        <v>106</v>
      </c>
      <c r="D140" s="6">
        <v>41275</v>
      </c>
      <c r="E140" s="8">
        <v>18683</v>
      </c>
      <c r="F140" s="8">
        <v>16669</v>
      </c>
      <c r="G140" s="8">
        <f t="shared" si="20"/>
        <v>35352</v>
      </c>
      <c r="H140" s="12">
        <f t="shared" si="21"/>
        <v>0.52848495134645845</v>
      </c>
      <c r="I140" s="12">
        <f t="shared" si="22"/>
        <v>0.47151504865354155</v>
      </c>
      <c r="J140">
        <f t="shared" ref="J140:J203" si="23">(0.5*E134+E135+E136+E137+E138+E139+E140+E141+E142+E143+E144+E145+E146*0.5)/12</f>
        <v>21081.166666666668</v>
      </c>
      <c r="K140">
        <f t="shared" si="16"/>
        <v>21173.625</v>
      </c>
      <c r="L140">
        <f t="shared" si="17"/>
        <v>42254.791666666664</v>
      </c>
      <c r="M140">
        <f t="shared" ref="M140:M203" si="24">E140/J140</f>
        <v>0.88624127380679429</v>
      </c>
      <c r="N140">
        <f t="shared" si="18"/>
        <v>0.78725300934535303</v>
      </c>
      <c r="O140">
        <f t="shared" si="19"/>
        <v>0.83663884273479838</v>
      </c>
    </row>
    <row r="141" spans="1:15" ht="13.2" x14ac:dyDescent="0.25">
      <c r="A141" s="14">
        <v>12</v>
      </c>
      <c r="B141" s="14" t="s">
        <v>94</v>
      </c>
      <c r="C141" s="14" t="s">
        <v>109</v>
      </c>
      <c r="D141" s="6">
        <v>41244</v>
      </c>
      <c r="E141" s="8">
        <v>18201</v>
      </c>
      <c r="F141" s="8">
        <v>19995</v>
      </c>
      <c r="G141" s="8">
        <f t="shared" si="20"/>
        <v>38196</v>
      </c>
      <c r="H141" s="12">
        <f t="shared" si="21"/>
        <v>0.47651586553565817</v>
      </c>
      <c r="I141" s="12">
        <f t="shared" si="22"/>
        <v>0.52348413446434183</v>
      </c>
      <c r="J141">
        <f t="shared" si="23"/>
        <v>21357.541666666668</v>
      </c>
      <c r="K141">
        <f t="shared" si="16"/>
        <v>21462.916666666668</v>
      </c>
      <c r="L141">
        <f t="shared" si="17"/>
        <v>42820.458333333336</v>
      </c>
      <c r="M141">
        <f t="shared" si="24"/>
        <v>0.85220482226223748</v>
      </c>
      <c r="N141">
        <f t="shared" si="18"/>
        <v>0.93160684125720716</v>
      </c>
      <c r="O141">
        <f t="shared" si="19"/>
        <v>0.89200353024401302</v>
      </c>
    </row>
    <row r="142" spans="1:15" ht="13.2" x14ac:dyDescent="0.25">
      <c r="A142" s="14">
        <v>12</v>
      </c>
      <c r="B142" s="14" t="s">
        <v>95</v>
      </c>
      <c r="C142" s="14" t="s">
        <v>109</v>
      </c>
      <c r="D142" s="6">
        <v>41214</v>
      </c>
      <c r="E142" s="8">
        <v>19366</v>
      </c>
      <c r="F142" s="8">
        <v>18241</v>
      </c>
      <c r="G142" s="8">
        <f t="shared" si="20"/>
        <v>37607</v>
      </c>
      <c r="H142" s="12">
        <f t="shared" si="21"/>
        <v>0.51495732177520137</v>
      </c>
      <c r="I142" s="12">
        <f t="shared" si="22"/>
        <v>0.48504267822479857</v>
      </c>
      <c r="J142">
        <f t="shared" si="23"/>
        <v>21546.708333333332</v>
      </c>
      <c r="K142">
        <f t="shared" si="16"/>
        <v>21660.25</v>
      </c>
      <c r="L142">
        <f t="shared" si="17"/>
        <v>43206.958333333336</v>
      </c>
      <c r="M142">
        <f t="shared" si="24"/>
        <v>0.89879157876009685</v>
      </c>
      <c r="N142">
        <f t="shared" si="18"/>
        <v>0.84214171119908587</v>
      </c>
      <c r="O142">
        <f t="shared" si="19"/>
        <v>0.87039221113111598</v>
      </c>
    </row>
    <row r="143" spans="1:15" ht="13.2" x14ac:dyDescent="0.25">
      <c r="A143" s="14">
        <v>12</v>
      </c>
      <c r="B143" s="14" t="s">
        <v>96</v>
      </c>
      <c r="C143" s="14" t="s">
        <v>109</v>
      </c>
      <c r="D143" s="6">
        <v>41183</v>
      </c>
      <c r="E143" s="8">
        <v>24878</v>
      </c>
      <c r="F143" s="8">
        <v>26014</v>
      </c>
      <c r="G143" s="8">
        <f t="shared" si="20"/>
        <v>50892</v>
      </c>
      <c r="H143" s="12">
        <f t="shared" si="21"/>
        <v>0.48883911027273441</v>
      </c>
      <c r="I143" s="12">
        <f t="shared" si="22"/>
        <v>0.51116088972726559</v>
      </c>
      <c r="J143">
        <f t="shared" si="23"/>
        <v>21774.958333333332</v>
      </c>
      <c r="K143">
        <f t="shared" si="16"/>
        <v>21875.5</v>
      </c>
      <c r="L143">
        <f t="shared" si="17"/>
        <v>43650.458333333336</v>
      </c>
      <c r="M143">
        <f t="shared" si="24"/>
        <v>1.1425050564582022</v>
      </c>
      <c r="N143">
        <f t="shared" si="18"/>
        <v>1.1891842472172065</v>
      </c>
      <c r="O143">
        <f t="shared" si="19"/>
        <v>1.1658984107650645</v>
      </c>
    </row>
    <row r="144" spans="1:15" ht="13.2" x14ac:dyDescent="0.25">
      <c r="A144" s="14">
        <v>12</v>
      </c>
      <c r="B144" s="14" t="s">
        <v>97</v>
      </c>
      <c r="C144" s="14" t="s">
        <v>108</v>
      </c>
      <c r="D144" s="6">
        <v>41153</v>
      </c>
      <c r="E144" s="8">
        <v>21643</v>
      </c>
      <c r="F144" s="8">
        <v>23124</v>
      </c>
      <c r="G144" s="8">
        <f t="shared" si="20"/>
        <v>44767</v>
      </c>
      <c r="H144" s="12">
        <f t="shared" si="21"/>
        <v>0.48345879777514689</v>
      </c>
      <c r="I144" s="12">
        <f t="shared" si="22"/>
        <v>0.51654120222485311</v>
      </c>
      <c r="J144">
        <f t="shared" si="23"/>
        <v>22043.291666666668</v>
      </c>
      <c r="K144">
        <f t="shared" si="16"/>
        <v>22166.291666666668</v>
      </c>
      <c r="L144">
        <f t="shared" si="17"/>
        <v>44209.583333333336</v>
      </c>
      <c r="M144">
        <f t="shared" si="24"/>
        <v>0.98184065825014788</v>
      </c>
      <c r="N144">
        <f t="shared" si="18"/>
        <v>1.0432056181401566</v>
      </c>
      <c r="O144">
        <f t="shared" si="19"/>
        <v>1.0126085030583489</v>
      </c>
    </row>
    <row r="145" spans="1:15" ht="13.2" x14ac:dyDescent="0.25">
      <c r="A145" s="14">
        <v>12</v>
      </c>
      <c r="B145" s="14" t="s">
        <v>98</v>
      </c>
      <c r="C145" s="14" t="s">
        <v>108</v>
      </c>
      <c r="D145" s="6">
        <v>41122</v>
      </c>
      <c r="E145" s="8">
        <v>28701</v>
      </c>
      <c r="F145" s="8">
        <v>29193</v>
      </c>
      <c r="G145" s="8">
        <f t="shared" si="20"/>
        <v>57894</v>
      </c>
      <c r="H145" s="12">
        <f t="shared" si="21"/>
        <v>0.49575085501088195</v>
      </c>
      <c r="I145" s="12">
        <f t="shared" si="22"/>
        <v>0.50424914498911799</v>
      </c>
      <c r="J145">
        <f t="shared" si="23"/>
        <v>22387.25</v>
      </c>
      <c r="K145">
        <f t="shared" si="16"/>
        <v>22506.416666666668</v>
      </c>
      <c r="L145">
        <f t="shared" si="17"/>
        <v>44893.666666666664</v>
      </c>
      <c r="M145">
        <f t="shared" si="24"/>
        <v>1.2820243665479234</v>
      </c>
      <c r="N145">
        <f t="shared" si="18"/>
        <v>1.2970967538887057</v>
      </c>
      <c r="O145">
        <f t="shared" si="19"/>
        <v>1.2895805644448735</v>
      </c>
    </row>
    <row r="146" spans="1:15" ht="13.2" x14ac:dyDescent="0.25">
      <c r="A146" s="14">
        <v>12</v>
      </c>
      <c r="B146" s="14" t="s">
        <v>99</v>
      </c>
      <c r="C146" s="14" t="s">
        <v>108</v>
      </c>
      <c r="D146" s="6">
        <v>41091</v>
      </c>
      <c r="E146" s="8">
        <v>27845</v>
      </c>
      <c r="F146" s="8">
        <v>27251</v>
      </c>
      <c r="G146" s="8">
        <f t="shared" si="20"/>
        <v>55096</v>
      </c>
      <c r="H146" s="12">
        <f t="shared" si="21"/>
        <v>0.50539059096849137</v>
      </c>
      <c r="I146" s="12">
        <f t="shared" si="22"/>
        <v>0.49460940903150863</v>
      </c>
      <c r="J146">
        <f t="shared" si="23"/>
        <v>22714.541666666668</v>
      </c>
      <c r="K146">
        <f t="shared" si="16"/>
        <v>22858.041666666668</v>
      </c>
      <c r="L146">
        <f t="shared" si="17"/>
        <v>45572.583333333336</v>
      </c>
      <c r="M146">
        <f t="shared" si="24"/>
        <v>1.2258666896573229</v>
      </c>
      <c r="N146">
        <f t="shared" si="18"/>
        <v>1.1921843698333736</v>
      </c>
      <c r="O146">
        <f t="shared" si="19"/>
        <v>1.2089724999131422</v>
      </c>
    </row>
    <row r="147" spans="1:15" ht="13.2" x14ac:dyDescent="0.25">
      <c r="A147" s="14">
        <v>12</v>
      </c>
      <c r="B147" s="14" t="s">
        <v>100</v>
      </c>
      <c r="C147" s="14" t="s">
        <v>107</v>
      </c>
      <c r="D147" s="6">
        <v>41061</v>
      </c>
      <c r="E147" s="8">
        <v>21487</v>
      </c>
      <c r="F147" s="8">
        <v>21123</v>
      </c>
      <c r="G147" s="8">
        <f t="shared" si="20"/>
        <v>42610</v>
      </c>
      <c r="H147" s="12">
        <f t="shared" si="21"/>
        <v>0.50427129781741376</v>
      </c>
      <c r="I147" s="12">
        <f t="shared" si="22"/>
        <v>0.49572870218258624</v>
      </c>
      <c r="J147">
        <f t="shared" si="23"/>
        <v>23054.208333333332</v>
      </c>
      <c r="K147">
        <f t="shared" si="16"/>
        <v>23246.958333333332</v>
      </c>
      <c r="L147">
        <f t="shared" si="17"/>
        <v>46301.166666666664</v>
      </c>
      <c r="M147">
        <f t="shared" si="24"/>
        <v>0.93202072651233236</v>
      </c>
      <c r="N147">
        <f t="shared" si="18"/>
        <v>0.908635000636284</v>
      </c>
      <c r="O147">
        <f t="shared" si="19"/>
        <v>0.92027918662956665</v>
      </c>
    </row>
    <row r="148" spans="1:15" ht="13.2" x14ac:dyDescent="0.25">
      <c r="A148" s="14">
        <v>12</v>
      </c>
      <c r="B148" s="14" t="s">
        <v>101</v>
      </c>
      <c r="C148" s="14" t="s">
        <v>107</v>
      </c>
      <c r="D148" s="6">
        <v>41030</v>
      </c>
      <c r="E148" s="8">
        <v>18710</v>
      </c>
      <c r="F148" s="8">
        <v>19060</v>
      </c>
      <c r="G148" s="8">
        <f t="shared" si="20"/>
        <v>37770</v>
      </c>
      <c r="H148" s="12">
        <f t="shared" si="21"/>
        <v>0.49536669314270587</v>
      </c>
      <c r="I148" s="12">
        <f t="shared" si="22"/>
        <v>0.50463330685729413</v>
      </c>
      <c r="J148">
        <f t="shared" si="23"/>
        <v>23510.083333333332</v>
      </c>
      <c r="K148">
        <f t="shared" si="16"/>
        <v>23720.708333333332</v>
      </c>
      <c r="L148">
        <f t="shared" si="17"/>
        <v>47230.791666666664</v>
      </c>
      <c r="M148">
        <f t="shared" si="24"/>
        <v>0.79582874015050287</v>
      </c>
      <c r="N148">
        <f t="shared" si="18"/>
        <v>0.80351732048473823</v>
      </c>
      <c r="O148">
        <f t="shared" si="19"/>
        <v>0.79969017387138863</v>
      </c>
    </row>
    <row r="149" spans="1:15" ht="13.2" x14ac:dyDescent="0.25">
      <c r="A149" s="14">
        <v>12</v>
      </c>
      <c r="B149" s="14" t="s">
        <v>102</v>
      </c>
      <c r="C149" s="14" t="s">
        <v>107</v>
      </c>
      <c r="D149" s="6">
        <v>41000</v>
      </c>
      <c r="E149" s="8">
        <v>23598</v>
      </c>
      <c r="F149" s="8">
        <v>24587</v>
      </c>
      <c r="G149" s="8">
        <f t="shared" si="20"/>
        <v>48185</v>
      </c>
      <c r="H149" s="12">
        <f t="shared" si="21"/>
        <v>0.48973747016706443</v>
      </c>
      <c r="I149" s="12">
        <f t="shared" si="22"/>
        <v>0.51026252983293552</v>
      </c>
      <c r="J149">
        <f t="shared" si="23"/>
        <v>24012.833333333332</v>
      </c>
      <c r="K149">
        <f t="shared" si="16"/>
        <v>24169.375</v>
      </c>
      <c r="L149">
        <f t="shared" si="17"/>
        <v>48182.208333333336</v>
      </c>
      <c r="M149">
        <f t="shared" si="24"/>
        <v>0.98272451536331273</v>
      </c>
      <c r="N149">
        <f t="shared" si="18"/>
        <v>1.0172790980321171</v>
      </c>
      <c r="O149">
        <f t="shared" si="19"/>
        <v>1.0000579397824059</v>
      </c>
    </row>
    <row r="150" spans="1:15" ht="13.2" x14ac:dyDescent="0.25">
      <c r="A150" s="14">
        <v>12</v>
      </c>
      <c r="B150" s="14" t="s">
        <v>103</v>
      </c>
      <c r="C150" s="14" t="s">
        <v>106</v>
      </c>
      <c r="D150" s="6">
        <v>40969</v>
      </c>
      <c r="E150" s="8">
        <v>25752</v>
      </c>
      <c r="F150" s="8">
        <v>25357</v>
      </c>
      <c r="G150" s="8">
        <f t="shared" si="20"/>
        <v>51109</v>
      </c>
      <c r="H150" s="12">
        <f t="shared" si="21"/>
        <v>0.50386429004676281</v>
      </c>
      <c r="I150" s="12">
        <f t="shared" si="22"/>
        <v>0.49613570995323719</v>
      </c>
      <c r="J150">
        <f t="shared" si="23"/>
        <v>24697.541666666668</v>
      </c>
      <c r="K150">
        <f t="shared" si="16"/>
        <v>24813.083333333332</v>
      </c>
      <c r="L150">
        <f t="shared" si="17"/>
        <v>49510.625</v>
      </c>
      <c r="M150">
        <f t="shared" si="24"/>
        <v>1.0426948701034684</v>
      </c>
      <c r="N150">
        <f t="shared" si="18"/>
        <v>1.0219205593823151</v>
      </c>
      <c r="O150">
        <f t="shared" si="19"/>
        <v>1.0322834745067346</v>
      </c>
    </row>
    <row r="151" spans="1:15" ht="13.2" x14ac:dyDescent="0.25">
      <c r="A151" s="14">
        <v>12</v>
      </c>
      <c r="B151" s="14" t="s">
        <v>104</v>
      </c>
      <c r="C151" s="14" t="s">
        <v>106</v>
      </c>
      <c r="D151" s="6">
        <v>40940</v>
      </c>
      <c r="E151" s="8">
        <v>22395</v>
      </c>
      <c r="F151" s="8">
        <v>21850</v>
      </c>
      <c r="G151" s="8">
        <f t="shared" si="20"/>
        <v>44245</v>
      </c>
      <c r="H151" s="12">
        <f t="shared" si="21"/>
        <v>0.50615888800994457</v>
      </c>
      <c r="I151" s="12">
        <f t="shared" si="22"/>
        <v>0.49384111199005537</v>
      </c>
      <c r="J151">
        <f t="shared" si="23"/>
        <v>25641.125</v>
      </c>
      <c r="K151">
        <f t="shared" si="16"/>
        <v>25798.541666666668</v>
      </c>
      <c r="L151">
        <f t="shared" si="17"/>
        <v>51439.666666666664</v>
      </c>
      <c r="M151">
        <f t="shared" si="24"/>
        <v>0.87340161556873963</v>
      </c>
      <c r="N151">
        <f t="shared" si="18"/>
        <v>0.84694709810793567</v>
      </c>
      <c r="O151">
        <f t="shared" si="19"/>
        <v>0.86013387852435541</v>
      </c>
    </row>
    <row r="152" spans="1:15" ht="13.2" x14ac:dyDescent="0.25">
      <c r="A152" s="14">
        <v>12</v>
      </c>
      <c r="B152" s="14" t="s">
        <v>105</v>
      </c>
      <c r="C152" s="14" t="s">
        <v>106</v>
      </c>
      <c r="D152" s="6">
        <v>40909</v>
      </c>
      <c r="E152" s="8">
        <v>21314</v>
      </c>
      <c r="F152" s="8">
        <v>20334</v>
      </c>
      <c r="G152" s="8">
        <f t="shared" si="20"/>
        <v>41648</v>
      </c>
      <c r="H152" s="12">
        <f t="shared" si="21"/>
        <v>0.51176527084133694</v>
      </c>
      <c r="I152" s="12">
        <f t="shared" si="22"/>
        <v>0.48823472915866306</v>
      </c>
      <c r="J152">
        <f t="shared" si="23"/>
        <v>26674.166666666668</v>
      </c>
      <c r="K152">
        <f t="shared" si="16"/>
        <v>26854.458333333332</v>
      </c>
      <c r="L152">
        <f t="shared" si="17"/>
        <v>53528.625</v>
      </c>
      <c r="M152">
        <f t="shared" si="24"/>
        <v>0.79905026711237459</v>
      </c>
      <c r="N152">
        <f t="shared" si="18"/>
        <v>0.7571927069837876</v>
      </c>
      <c r="O152">
        <f t="shared" si="19"/>
        <v>0.77805099607920059</v>
      </c>
    </row>
    <row r="153" spans="1:15" ht="13.2" x14ac:dyDescent="0.25">
      <c r="A153" s="14">
        <v>11</v>
      </c>
      <c r="B153" s="14" t="s">
        <v>94</v>
      </c>
      <c r="C153" s="14" t="s">
        <v>109</v>
      </c>
      <c r="D153" s="6">
        <v>40878</v>
      </c>
      <c r="E153" s="8">
        <v>23722</v>
      </c>
      <c r="F153" s="8">
        <v>25664</v>
      </c>
      <c r="G153" s="8">
        <f t="shared" ref="G153:G184" si="25">E153+F153</f>
        <v>49386</v>
      </c>
      <c r="H153" s="12">
        <f t="shared" si="21"/>
        <v>0.48033855748592719</v>
      </c>
      <c r="I153" s="12">
        <f t="shared" si="22"/>
        <v>0.51966144251407287</v>
      </c>
      <c r="J153">
        <f t="shared" si="23"/>
        <v>27632.208333333332</v>
      </c>
      <c r="K153">
        <f t="shared" si="16"/>
        <v>27752.666666666668</v>
      </c>
      <c r="L153">
        <f t="shared" si="17"/>
        <v>55384.875</v>
      </c>
      <c r="M153">
        <f t="shared" si="24"/>
        <v>0.85849092167503804</v>
      </c>
      <c r="N153">
        <f t="shared" si="18"/>
        <v>0.92473996492829513</v>
      </c>
      <c r="O153">
        <f t="shared" si="19"/>
        <v>0.89168748688157196</v>
      </c>
    </row>
    <row r="154" spans="1:15" ht="13.2" x14ac:dyDescent="0.25">
      <c r="A154" s="14">
        <v>11</v>
      </c>
      <c r="B154" s="14" t="s">
        <v>95</v>
      </c>
      <c r="C154" s="14" t="s">
        <v>109</v>
      </c>
      <c r="D154" s="6">
        <v>40848</v>
      </c>
      <c r="E154" s="8">
        <v>24786</v>
      </c>
      <c r="F154" s="8">
        <v>23942</v>
      </c>
      <c r="G154" s="8">
        <f t="shared" si="25"/>
        <v>48728</v>
      </c>
      <c r="H154" s="12">
        <f t="shared" si="21"/>
        <v>0.50866031850270887</v>
      </c>
      <c r="I154" s="12">
        <f t="shared" si="22"/>
        <v>0.49133968149729107</v>
      </c>
      <c r="J154">
        <f t="shared" si="23"/>
        <v>28593.916666666668</v>
      </c>
      <c r="K154">
        <f t="shared" si="16"/>
        <v>28703.25</v>
      </c>
      <c r="L154">
        <f t="shared" si="17"/>
        <v>57297.166666666664</v>
      </c>
      <c r="M154">
        <f t="shared" si="24"/>
        <v>0.86682773433743188</v>
      </c>
      <c r="N154">
        <f t="shared" si="18"/>
        <v>0.83412157159903499</v>
      </c>
      <c r="O154">
        <f t="shared" si="19"/>
        <v>0.85044344833805052</v>
      </c>
    </row>
    <row r="155" spans="1:15" ht="13.2" x14ac:dyDescent="0.25">
      <c r="A155" s="14">
        <v>11</v>
      </c>
      <c r="B155" s="14" t="s">
        <v>96</v>
      </c>
      <c r="C155" s="14" t="s">
        <v>109</v>
      </c>
      <c r="D155" s="6">
        <v>40817</v>
      </c>
      <c r="E155" s="8">
        <v>31524</v>
      </c>
      <c r="F155" s="8">
        <v>31081</v>
      </c>
      <c r="G155" s="8">
        <f t="shared" si="25"/>
        <v>62605</v>
      </c>
      <c r="H155" s="12">
        <f t="shared" si="21"/>
        <v>0.50353805606580948</v>
      </c>
      <c r="I155" s="12">
        <f t="shared" si="22"/>
        <v>0.49646194393419057</v>
      </c>
      <c r="J155">
        <f t="shared" si="23"/>
        <v>29650.541666666668</v>
      </c>
      <c r="K155">
        <f t="shared" ref="K155:K218" si="26">(0.5*F149+F150+F151+F152+F153+F154+F155+F156+F157+F158+F159+F160+F161*0.5)/12</f>
        <v>29749.625</v>
      </c>
      <c r="L155">
        <f t="shared" ref="L155:L218" si="27">(0.5*G149+G150+G151+G152+G153+G154+G155+G156+G157+G158+G159+G160+G161*0.5)/12</f>
        <v>59400.166666666664</v>
      </c>
      <c r="M155">
        <f t="shared" si="24"/>
        <v>1.0631846242269323</v>
      </c>
      <c r="N155">
        <f t="shared" ref="N155:N218" si="28">F155/K155</f>
        <v>1.0447526649495582</v>
      </c>
      <c r="O155">
        <f t="shared" ref="O155:O218" si="29">G155/L155</f>
        <v>1.0539532717360502</v>
      </c>
    </row>
    <row r="156" spans="1:15" ht="13.2" x14ac:dyDescent="0.25">
      <c r="A156" s="14">
        <v>11</v>
      </c>
      <c r="B156" s="14" t="s">
        <v>97</v>
      </c>
      <c r="C156" s="14" t="s">
        <v>108</v>
      </c>
      <c r="D156" s="6">
        <v>40787</v>
      </c>
      <c r="E156" s="8">
        <v>31430</v>
      </c>
      <c r="F156" s="8">
        <v>33506</v>
      </c>
      <c r="G156" s="8">
        <f t="shared" si="25"/>
        <v>64936</v>
      </c>
      <c r="H156" s="12">
        <f t="shared" si="21"/>
        <v>0.48401503018356534</v>
      </c>
      <c r="I156" s="12">
        <f t="shared" si="22"/>
        <v>0.5159849698164346</v>
      </c>
      <c r="J156">
        <f t="shared" si="23"/>
        <v>30519.875</v>
      </c>
      <c r="K156">
        <f t="shared" si="26"/>
        <v>30544.916666666668</v>
      </c>
      <c r="L156">
        <f t="shared" si="27"/>
        <v>61064.791666666664</v>
      </c>
      <c r="M156">
        <f t="shared" si="24"/>
        <v>1.029820731572459</v>
      </c>
      <c r="N156">
        <f t="shared" si="28"/>
        <v>1.0969419352374508</v>
      </c>
      <c r="O156">
        <f t="shared" si="29"/>
        <v>1.0633950960557605</v>
      </c>
    </row>
    <row r="157" spans="1:15" ht="13.2" x14ac:dyDescent="0.25">
      <c r="A157" s="14">
        <v>11</v>
      </c>
      <c r="B157" s="14" t="s">
        <v>98</v>
      </c>
      <c r="C157" s="14" t="s">
        <v>108</v>
      </c>
      <c r="D157" s="6">
        <v>40756</v>
      </c>
      <c r="E157" s="8">
        <v>41560</v>
      </c>
      <c r="F157" s="8">
        <v>42462</v>
      </c>
      <c r="G157" s="8">
        <f t="shared" si="25"/>
        <v>84022</v>
      </c>
      <c r="H157" s="12">
        <f t="shared" si="21"/>
        <v>0.4946323581919021</v>
      </c>
      <c r="I157" s="12">
        <f t="shared" si="22"/>
        <v>0.5053676418080979</v>
      </c>
      <c r="J157">
        <f t="shared" si="23"/>
        <v>31000.125</v>
      </c>
      <c r="K157">
        <f t="shared" si="26"/>
        <v>31026.458333333332</v>
      </c>
      <c r="L157">
        <f t="shared" si="27"/>
        <v>62026.583333333336</v>
      </c>
      <c r="M157">
        <f t="shared" si="24"/>
        <v>1.3406397554848568</v>
      </c>
      <c r="N157">
        <f t="shared" si="28"/>
        <v>1.3685738650479766</v>
      </c>
      <c r="O157">
        <f t="shared" si="29"/>
        <v>1.3546127399676751</v>
      </c>
    </row>
    <row r="158" spans="1:15" ht="13.2" x14ac:dyDescent="0.25">
      <c r="A158" s="14">
        <v>11</v>
      </c>
      <c r="B158" s="14" t="s">
        <v>99</v>
      </c>
      <c r="C158" s="14" t="s">
        <v>108</v>
      </c>
      <c r="D158" s="6">
        <v>40725</v>
      </c>
      <c r="E158" s="8">
        <v>39779</v>
      </c>
      <c r="F158" s="8">
        <v>39324</v>
      </c>
      <c r="G158" s="8">
        <f t="shared" si="25"/>
        <v>79103</v>
      </c>
      <c r="H158" s="12">
        <f t="shared" si="21"/>
        <v>0.50287599711768205</v>
      </c>
      <c r="I158" s="12">
        <f t="shared" si="22"/>
        <v>0.49712400288231801</v>
      </c>
      <c r="J158">
        <f t="shared" si="23"/>
        <v>31227.958333333332</v>
      </c>
      <c r="K158">
        <f t="shared" si="26"/>
        <v>31229.208333333332</v>
      </c>
      <c r="L158">
        <f t="shared" si="27"/>
        <v>62457.166666666664</v>
      </c>
      <c r="M158">
        <f t="shared" si="24"/>
        <v>1.2738264722717758</v>
      </c>
      <c r="N158">
        <f t="shared" si="28"/>
        <v>1.259205791586669</v>
      </c>
      <c r="O158">
        <f t="shared" si="29"/>
        <v>1.2665159856221464</v>
      </c>
    </row>
    <row r="159" spans="1:15" ht="13.2" x14ac:dyDescent="0.25">
      <c r="A159" s="14">
        <v>11</v>
      </c>
      <c r="B159" s="14" t="s">
        <v>100</v>
      </c>
      <c r="C159" s="14" t="s">
        <v>107</v>
      </c>
      <c r="D159" s="6">
        <v>40695</v>
      </c>
      <c r="E159" s="8">
        <v>32546</v>
      </c>
      <c r="F159" s="8">
        <v>30607</v>
      </c>
      <c r="G159" s="8">
        <f t="shared" si="25"/>
        <v>63153</v>
      </c>
      <c r="H159" s="12">
        <f t="shared" si="21"/>
        <v>0.51535160641616395</v>
      </c>
      <c r="I159" s="12">
        <f t="shared" si="22"/>
        <v>0.4846483935838361</v>
      </c>
      <c r="J159">
        <f t="shared" si="23"/>
        <v>31276.791666666668</v>
      </c>
      <c r="K159">
        <f t="shared" si="26"/>
        <v>31232.583333333332</v>
      </c>
      <c r="L159">
        <f t="shared" si="27"/>
        <v>62509.375</v>
      </c>
      <c r="M159">
        <f t="shared" si="24"/>
        <v>1.0405798761861498</v>
      </c>
      <c r="N159">
        <f t="shared" si="28"/>
        <v>0.97997017004143649</v>
      </c>
      <c r="O159">
        <f t="shared" si="29"/>
        <v>1.0102964555316702</v>
      </c>
    </row>
    <row r="160" spans="1:15" ht="13.2" x14ac:dyDescent="0.25">
      <c r="A160" s="14">
        <v>11</v>
      </c>
      <c r="B160" s="14" t="s">
        <v>101</v>
      </c>
      <c r="C160" s="14" t="s">
        <v>107</v>
      </c>
      <c r="D160" s="6">
        <v>40664</v>
      </c>
      <c r="E160" s="8">
        <v>30732</v>
      </c>
      <c r="F160" s="8">
        <v>32390</v>
      </c>
      <c r="G160" s="8">
        <f t="shared" si="25"/>
        <v>63122</v>
      </c>
      <c r="H160" s="12">
        <f t="shared" si="21"/>
        <v>0.48686670257596398</v>
      </c>
      <c r="I160" s="12">
        <f t="shared" si="22"/>
        <v>0.51313329742403602</v>
      </c>
      <c r="J160">
        <f t="shared" si="23"/>
        <v>31394.583333333332</v>
      </c>
      <c r="K160">
        <f t="shared" si="26"/>
        <v>31336.75</v>
      </c>
      <c r="L160">
        <f t="shared" si="27"/>
        <v>62731.333333333336</v>
      </c>
      <c r="M160">
        <f t="shared" si="24"/>
        <v>0.97889497922943192</v>
      </c>
      <c r="N160">
        <f t="shared" si="28"/>
        <v>1.0336106967059444</v>
      </c>
      <c r="O160">
        <f t="shared" si="29"/>
        <v>1.0062276161833001</v>
      </c>
    </row>
    <row r="161" spans="1:15" ht="13.2" x14ac:dyDescent="0.25">
      <c r="A161" s="14">
        <v>11</v>
      </c>
      <c r="B161" s="14" t="s">
        <v>102</v>
      </c>
      <c r="C161" s="14" t="s">
        <v>107</v>
      </c>
      <c r="D161" s="6">
        <v>40634</v>
      </c>
      <c r="E161" s="8">
        <v>36935</v>
      </c>
      <c r="F161" s="8">
        <v>36370</v>
      </c>
      <c r="G161" s="8">
        <f t="shared" si="25"/>
        <v>73305</v>
      </c>
      <c r="H161" s="12">
        <f t="shared" si="21"/>
        <v>0.50385376168064933</v>
      </c>
      <c r="I161" s="12">
        <f t="shared" si="22"/>
        <v>0.49614623831935067</v>
      </c>
      <c r="J161">
        <f t="shared" si="23"/>
        <v>31337.75</v>
      </c>
      <c r="K161">
        <f t="shared" si="26"/>
        <v>31305.958333333332</v>
      </c>
      <c r="L161">
        <f t="shared" si="27"/>
        <v>62643.708333333336</v>
      </c>
      <c r="M161">
        <f t="shared" si="24"/>
        <v>1.1786104618232005</v>
      </c>
      <c r="N161">
        <f t="shared" si="28"/>
        <v>1.1617596756740929</v>
      </c>
      <c r="O161">
        <f t="shared" si="29"/>
        <v>1.1701893446335725</v>
      </c>
    </row>
    <row r="162" spans="1:15" ht="13.2" x14ac:dyDescent="0.25">
      <c r="A162" s="14">
        <v>11</v>
      </c>
      <c r="B162" s="14" t="s">
        <v>103</v>
      </c>
      <c r="C162" s="14" t="s">
        <v>106</v>
      </c>
      <c r="D162" s="6">
        <v>40603</v>
      </c>
      <c r="E162" s="8">
        <v>33279</v>
      </c>
      <c r="F162" s="8">
        <v>32661</v>
      </c>
      <c r="G162" s="8">
        <f t="shared" si="25"/>
        <v>65940</v>
      </c>
      <c r="H162" s="12">
        <f t="shared" si="21"/>
        <v>0.50468607825295719</v>
      </c>
      <c r="I162" s="12">
        <f t="shared" si="22"/>
        <v>0.49531392174704275</v>
      </c>
      <c r="J162">
        <f t="shared" si="23"/>
        <v>30997.458333333332</v>
      </c>
      <c r="K162">
        <f t="shared" si="26"/>
        <v>30978.458333333332</v>
      </c>
      <c r="L162">
        <f t="shared" si="27"/>
        <v>61975.916666666664</v>
      </c>
      <c r="M162">
        <f t="shared" si="24"/>
        <v>1.0736041530286757</v>
      </c>
      <c r="N162">
        <f t="shared" si="28"/>
        <v>1.0543132795235399</v>
      </c>
      <c r="O162">
        <f t="shared" si="29"/>
        <v>1.0639616732843806</v>
      </c>
    </row>
    <row r="163" spans="1:15" ht="13.2" x14ac:dyDescent="0.25">
      <c r="A163" s="14">
        <v>11</v>
      </c>
      <c r="B163" s="14" t="s">
        <v>104</v>
      </c>
      <c r="C163" s="14" t="s">
        <v>106</v>
      </c>
      <c r="D163" s="6">
        <v>40575</v>
      </c>
      <c r="E163" s="8">
        <v>26394</v>
      </c>
      <c r="F163" s="8">
        <v>26103</v>
      </c>
      <c r="G163" s="8">
        <f t="shared" si="25"/>
        <v>52497</v>
      </c>
      <c r="H163" s="12">
        <f t="shared" si="21"/>
        <v>0.50277158694782564</v>
      </c>
      <c r="I163" s="12">
        <f t="shared" si="22"/>
        <v>0.49722841305217441</v>
      </c>
      <c r="J163">
        <f t="shared" si="23"/>
        <v>30806.666666666668</v>
      </c>
      <c r="K163">
        <f t="shared" si="26"/>
        <v>30746.166666666668</v>
      </c>
      <c r="L163">
        <f t="shared" si="27"/>
        <v>61552.833333333336</v>
      </c>
      <c r="M163">
        <f t="shared" si="24"/>
        <v>0.85676260549664573</v>
      </c>
      <c r="N163">
        <f t="shared" si="28"/>
        <v>0.84898388416984227</v>
      </c>
      <c r="O163">
        <f t="shared" si="29"/>
        <v>0.85287706766815496</v>
      </c>
    </row>
    <row r="164" spans="1:15" ht="13.2" x14ac:dyDescent="0.25">
      <c r="A164" s="14">
        <v>11</v>
      </c>
      <c r="B164" s="14" t="s">
        <v>105</v>
      </c>
      <c r="C164" s="14" t="s">
        <v>106</v>
      </c>
      <c r="D164" s="6">
        <v>40544</v>
      </c>
      <c r="E164" s="8">
        <v>22783</v>
      </c>
      <c r="F164" s="8">
        <v>20947</v>
      </c>
      <c r="G164" s="8">
        <f t="shared" si="25"/>
        <v>43730</v>
      </c>
      <c r="H164" s="12">
        <f t="shared" si="21"/>
        <v>0.52099245369311686</v>
      </c>
      <c r="I164" s="12">
        <f t="shared" si="22"/>
        <v>0.47900754630688314</v>
      </c>
      <c r="J164">
        <f t="shared" si="23"/>
        <v>30679.541666666668</v>
      </c>
      <c r="K164">
        <f t="shared" si="26"/>
        <v>30556.375</v>
      </c>
      <c r="L164">
        <f t="shared" si="27"/>
        <v>61235.916666666664</v>
      </c>
      <c r="M164">
        <f t="shared" si="24"/>
        <v>0.74261213702399398</v>
      </c>
      <c r="N164">
        <f t="shared" si="28"/>
        <v>0.68551979742361457</v>
      </c>
      <c r="O164">
        <f t="shared" si="29"/>
        <v>0.7141233834718459</v>
      </c>
    </row>
    <row r="165" spans="1:15" ht="13.2" x14ac:dyDescent="0.25">
      <c r="A165" s="14">
        <v>10</v>
      </c>
      <c r="B165" s="14" t="s">
        <v>94</v>
      </c>
      <c r="C165" s="14" t="s">
        <v>109</v>
      </c>
      <c r="D165" s="6">
        <v>40513</v>
      </c>
      <c r="E165" s="8">
        <v>23425</v>
      </c>
      <c r="F165" s="8">
        <v>25132</v>
      </c>
      <c r="G165" s="8">
        <f t="shared" si="25"/>
        <v>48557</v>
      </c>
      <c r="H165" s="12">
        <f t="shared" si="21"/>
        <v>0.4824227196902609</v>
      </c>
      <c r="I165" s="12">
        <f t="shared" si="22"/>
        <v>0.51757728030973904</v>
      </c>
      <c r="J165">
        <f t="shared" si="23"/>
        <v>30226.875</v>
      </c>
      <c r="K165">
        <f t="shared" si="26"/>
        <v>30093.333333333332</v>
      </c>
      <c r="L165">
        <f t="shared" si="27"/>
        <v>60320.208333333336</v>
      </c>
      <c r="M165">
        <f t="shared" si="24"/>
        <v>0.77497260302297211</v>
      </c>
      <c r="N165">
        <f t="shared" si="28"/>
        <v>0.83513513513513515</v>
      </c>
      <c r="O165">
        <f t="shared" si="29"/>
        <v>0.80498727278378923</v>
      </c>
    </row>
    <row r="166" spans="1:15" ht="13.2" x14ac:dyDescent="0.25">
      <c r="A166" s="14">
        <v>10</v>
      </c>
      <c r="B166" s="14" t="s">
        <v>95</v>
      </c>
      <c r="C166" s="14" t="s">
        <v>109</v>
      </c>
      <c r="D166" s="6">
        <v>40483</v>
      </c>
      <c r="E166" s="8">
        <v>27910</v>
      </c>
      <c r="F166" s="8">
        <v>26974</v>
      </c>
      <c r="G166" s="8">
        <f t="shared" si="25"/>
        <v>54884</v>
      </c>
      <c r="H166" s="12">
        <f t="shared" si="21"/>
        <v>0.50852707528605789</v>
      </c>
      <c r="I166" s="12">
        <f t="shared" si="22"/>
        <v>0.49147292471394211</v>
      </c>
      <c r="J166">
        <f t="shared" si="23"/>
        <v>29422.333333333332</v>
      </c>
      <c r="K166">
        <f t="shared" si="26"/>
        <v>29268.875</v>
      </c>
      <c r="L166">
        <f t="shared" si="27"/>
        <v>58691.208333333336</v>
      </c>
      <c r="M166">
        <f t="shared" si="24"/>
        <v>0.94859913671020879</v>
      </c>
      <c r="N166">
        <f t="shared" si="28"/>
        <v>0.92159333079935601</v>
      </c>
      <c r="O166">
        <f t="shared" si="29"/>
        <v>0.93513153943414296</v>
      </c>
    </row>
    <row r="167" spans="1:15" ht="13.2" x14ac:dyDescent="0.25">
      <c r="A167" s="14">
        <v>10</v>
      </c>
      <c r="B167" s="14" t="s">
        <v>96</v>
      </c>
      <c r="C167" s="14" t="s">
        <v>109</v>
      </c>
      <c r="D167" s="6">
        <v>40452</v>
      </c>
      <c r="E167" s="8">
        <v>27036</v>
      </c>
      <c r="F167" s="8">
        <v>27310</v>
      </c>
      <c r="G167" s="8">
        <f t="shared" si="25"/>
        <v>54346</v>
      </c>
      <c r="H167" s="12">
        <f t="shared" si="21"/>
        <v>0.49747911529827404</v>
      </c>
      <c r="I167" s="12">
        <f t="shared" si="22"/>
        <v>0.50252088470172596</v>
      </c>
      <c r="J167">
        <f t="shared" si="23"/>
        <v>28259.166666666668</v>
      </c>
      <c r="K167">
        <f t="shared" si="26"/>
        <v>28151.125</v>
      </c>
      <c r="L167">
        <f t="shared" si="27"/>
        <v>56410.291666666664</v>
      </c>
      <c r="M167">
        <f t="shared" si="24"/>
        <v>0.95671610981687349</v>
      </c>
      <c r="N167">
        <f t="shared" si="28"/>
        <v>0.97012108752314519</v>
      </c>
      <c r="O167">
        <f t="shared" si="29"/>
        <v>0.96340576150776269</v>
      </c>
    </row>
    <row r="168" spans="1:15" ht="13.2" x14ac:dyDescent="0.25">
      <c r="A168" s="14">
        <v>10</v>
      </c>
      <c r="B168" s="14" t="s">
        <v>97</v>
      </c>
      <c r="C168" s="14" t="s">
        <v>108</v>
      </c>
      <c r="D168" s="6">
        <v>40422</v>
      </c>
      <c r="E168" s="8">
        <v>27751</v>
      </c>
      <c r="F168" s="8">
        <v>29417</v>
      </c>
      <c r="G168" s="8">
        <f t="shared" si="25"/>
        <v>57168</v>
      </c>
      <c r="H168" s="12">
        <f t="shared" si="21"/>
        <v>0.4854289112790372</v>
      </c>
      <c r="I168" s="12">
        <f t="shared" si="22"/>
        <v>0.5145710887209628</v>
      </c>
      <c r="J168">
        <f t="shared" si="23"/>
        <v>27095.291666666668</v>
      </c>
      <c r="K168">
        <f t="shared" si="26"/>
        <v>27046.583333333332</v>
      </c>
      <c r="L168">
        <f t="shared" si="27"/>
        <v>54141.875</v>
      </c>
      <c r="M168">
        <f t="shared" si="24"/>
        <v>1.0242000839629271</v>
      </c>
      <c r="N168">
        <f t="shared" si="28"/>
        <v>1.0876420003758946</v>
      </c>
      <c r="O168">
        <f t="shared" si="29"/>
        <v>1.0558925046463574</v>
      </c>
    </row>
    <row r="169" spans="1:15" ht="13.2" x14ac:dyDescent="0.25">
      <c r="A169" s="14">
        <v>10</v>
      </c>
      <c r="B169" s="14" t="s">
        <v>98</v>
      </c>
      <c r="C169" s="14" t="s">
        <v>108</v>
      </c>
      <c r="D169" s="6">
        <v>40391</v>
      </c>
      <c r="E169" s="8">
        <v>40660</v>
      </c>
      <c r="F169" s="8">
        <v>40976</v>
      </c>
      <c r="G169" s="8">
        <f t="shared" si="25"/>
        <v>81636</v>
      </c>
      <c r="H169" s="12">
        <f t="shared" si="21"/>
        <v>0.49806457935224657</v>
      </c>
      <c r="I169" s="12">
        <f t="shared" si="22"/>
        <v>0.50193542064775343</v>
      </c>
      <c r="J169">
        <f t="shared" si="23"/>
        <v>26261.583333333332</v>
      </c>
      <c r="K169">
        <f t="shared" si="26"/>
        <v>26166.166666666668</v>
      </c>
      <c r="L169">
        <f t="shared" si="27"/>
        <v>52427.75</v>
      </c>
      <c r="M169">
        <f t="shared" si="24"/>
        <v>1.548269176458642</v>
      </c>
      <c r="N169">
        <f t="shared" si="28"/>
        <v>1.5659917068479015</v>
      </c>
      <c r="O169">
        <f t="shared" si="29"/>
        <v>1.5571143144613302</v>
      </c>
    </row>
    <row r="170" spans="1:15" ht="13.2" x14ac:dyDescent="0.25">
      <c r="A170" s="14">
        <v>10</v>
      </c>
      <c r="B170" s="14" t="s">
        <v>99</v>
      </c>
      <c r="C170" s="14" t="s">
        <v>108</v>
      </c>
      <c r="D170" s="6">
        <v>40360</v>
      </c>
      <c r="E170" s="8">
        <v>37628</v>
      </c>
      <c r="F170" s="8">
        <v>36255</v>
      </c>
      <c r="G170" s="8">
        <f t="shared" si="25"/>
        <v>73883</v>
      </c>
      <c r="H170" s="12">
        <f t="shared" si="21"/>
        <v>0.50929171798654627</v>
      </c>
      <c r="I170" s="12">
        <f t="shared" si="22"/>
        <v>0.49070828201345368</v>
      </c>
      <c r="J170">
        <f t="shared" si="23"/>
        <v>25562</v>
      </c>
      <c r="K170">
        <f t="shared" si="26"/>
        <v>25485.333333333332</v>
      </c>
      <c r="L170">
        <f t="shared" si="27"/>
        <v>51047.333333333336</v>
      </c>
      <c r="M170">
        <f t="shared" si="24"/>
        <v>1.4720287927392224</v>
      </c>
      <c r="N170">
        <f t="shared" si="28"/>
        <v>1.4225829235115623</v>
      </c>
      <c r="O170">
        <f t="shared" si="29"/>
        <v>1.4473429888600122</v>
      </c>
    </row>
    <row r="171" spans="1:15" ht="13.2" x14ac:dyDescent="0.25">
      <c r="A171" s="14">
        <v>10</v>
      </c>
      <c r="B171" s="14" t="s">
        <v>100</v>
      </c>
      <c r="C171" s="14" t="s">
        <v>107</v>
      </c>
      <c r="D171" s="6">
        <v>40330</v>
      </c>
      <c r="E171" s="8">
        <v>23833</v>
      </c>
      <c r="F171" s="8">
        <v>22563</v>
      </c>
      <c r="G171" s="8">
        <f t="shared" si="25"/>
        <v>46396</v>
      </c>
      <c r="H171" s="12">
        <f t="shared" si="21"/>
        <v>0.51368652470040521</v>
      </c>
      <c r="I171" s="12">
        <f t="shared" si="22"/>
        <v>0.48631347529959479</v>
      </c>
      <c r="J171">
        <f t="shared" si="23"/>
        <v>24996.958333333332</v>
      </c>
      <c r="K171">
        <f t="shared" si="26"/>
        <v>24965.875</v>
      </c>
      <c r="L171">
        <f t="shared" si="27"/>
        <v>49962.833333333336</v>
      </c>
      <c r="M171">
        <f t="shared" si="24"/>
        <v>0.95343600138016793</v>
      </c>
      <c r="N171">
        <f t="shared" si="28"/>
        <v>0.90375362369634549</v>
      </c>
      <c r="O171">
        <f t="shared" si="29"/>
        <v>0.92861026696511073</v>
      </c>
    </row>
    <row r="172" spans="1:15" ht="13.2" x14ac:dyDescent="0.25">
      <c r="A172" s="14">
        <v>10</v>
      </c>
      <c r="B172" s="14" t="s">
        <v>101</v>
      </c>
      <c r="C172" s="14" t="s">
        <v>107</v>
      </c>
      <c r="D172" s="6">
        <v>40299</v>
      </c>
      <c r="E172" s="8">
        <v>20136</v>
      </c>
      <c r="F172" s="8">
        <v>20647</v>
      </c>
      <c r="G172" s="8">
        <f t="shared" si="25"/>
        <v>40783</v>
      </c>
      <c r="H172" s="12">
        <f t="shared" si="21"/>
        <v>0.49373513473751318</v>
      </c>
      <c r="I172" s="12">
        <f t="shared" si="22"/>
        <v>0.50626486526248682</v>
      </c>
      <c r="J172">
        <f t="shared" si="23"/>
        <v>24347.5</v>
      </c>
      <c r="K172">
        <f t="shared" si="26"/>
        <v>24349.625</v>
      </c>
      <c r="L172">
        <f t="shared" si="27"/>
        <v>48697.125</v>
      </c>
      <c r="M172">
        <f t="shared" si="24"/>
        <v>0.82702536194681175</v>
      </c>
      <c r="N172">
        <f t="shared" si="28"/>
        <v>0.84793913663968135</v>
      </c>
      <c r="O172">
        <f t="shared" si="29"/>
        <v>0.8374827056012033</v>
      </c>
    </row>
    <row r="173" spans="1:15" ht="13.2" x14ac:dyDescent="0.25">
      <c r="A173" s="14">
        <v>10</v>
      </c>
      <c r="B173" s="14" t="s">
        <v>102</v>
      </c>
      <c r="C173" s="14" t="s">
        <v>107</v>
      </c>
      <c r="D173" s="6">
        <v>40269</v>
      </c>
      <c r="E173" s="8">
        <v>19615</v>
      </c>
      <c r="F173" s="8">
        <v>21287</v>
      </c>
      <c r="G173" s="8">
        <f t="shared" si="25"/>
        <v>40902</v>
      </c>
      <c r="H173" s="12">
        <f t="shared" si="21"/>
        <v>0.47956090166740012</v>
      </c>
      <c r="I173" s="12">
        <f t="shared" si="22"/>
        <v>0.52043909833259983</v>
      </c>
      <c r="J173">
        <f t="shared" si="23"/>
        <v>23683</v>
      </c>
      <c r="K173">
        <f t="shared" si="26"/>
        <v>23670.75</v>
      </c>
      <c r="L173">
        <f t="shared" si="27"/>
        <v>47353.75</v>
      </c>
      <c r="M173">
        <f t="shared" si="24"/>
        <v>0.82823122070683608</v>
      </c>
      <c r="N173">
        <f t="shared" si="28"/>
        <v>0.89929554407866252</v>
      </c>
      <c r="O173">
        <f t="shared" si="29"/>
        <v>0.86375419053401259</v>
      </c>
    </row>
    <row r="174" spans="1:15" ht="13.2" x14ac:dyDescent="0.25">
      <c r="A174" s="14">
        <v>10</v>
      </c>
      <c r="B174" s="14" t="s">
        <v>103</v>
      </c>
      <c r="C174" s="14" t="s">
        <v>106</v>
      </c>
      <c r="D174" s="6">
        <v>40238</v>
      </c>
      <c r="E174" s="8">
        <v>22666</v>
      </c>
      <c r="F174" s="8">
        <v>21235</v>
      </c>
      <c r="G174" s="8">
        <f t="shared" si="25"/>
        <v>43901</v>
      </c>
      <c r="H174" s="12">
        <f t="shared" si="21"/>
        <v>0.51629803421334364</v>
      </c>
      <c r="I174" s="12">
        <f t="shared" si="22"/>
        <v>0.48370196578665636</v>
      </c>
      <c r="J174">
        <f t="shared" si="23"/>
        <v>23222.041666666668</v>
      </c>
      <c r="K174">
        <f t="shared" si="26"/>
        <v>23188.416666666668</v>
      </c>
      <c r="L174">
        <f t="shared" si="27"/>
        <v>46410.458333333336</v>
      </c>
      <c r="M174">
        <f t="shared" si="24"/>
        <v>0.97605543583771881</v>
      </c>
      <c r="N174">
        <f t="shared" si="28"/>
        <v>0.9157589457379941</v>
      </c>
      <c r="O174">
        <f t="shared" si="29"/>
        <v>0.9459290335960554</v>
      </c>
    </row>
    <row r="175" spans="1:15" ht="13.2" x14ac:dyDescent="0.25">
      <c r="A175" s="14">
        <v>10</v>
      </c>
      <c r="B175" s="14" t="s">
        <v>104</v>
      </c>
      <c r="C175" s="14" t="s">
        <v>106</v>
      </c>
      <c r="D175" s="6">
        <v>40210</v>
      </c>
      <c r="E175" s="8">
        <v>16998</v>
      </c>
      <c r="F175" s="8">
        <v>16399</v>
      </c>
      <c r="G175" s="8">
        <f t="shared" si="25"/>
        <v>33397</v>
      </c>
      <c r="H175" s="12">
        <f t="shared" si="21"/>
        <v>0.50896787136569155</v>
      </c>
      <c r="I175" s="12">
        <f t="shared" si="22"/>
        <v>0.49103212863430845</v>
      </c>
      <c r="J175">
        <f t="shared" si="23"/>
        <v>22676.458333333332</v>
      </c>
      <c r="K175">
        <f t="shared" si="26"/>
        <v>22659.208333333332</v>
      </c>
      <c r="L175">
        <f t="shared" si="27"/>
        <v>45335.666666666664</v>
      </c>
      <c r="M175">
        <f t="shared" si="24"/>
        <v>0.74958795373322196</v>
      </c>
      <c r="N175">
        <f t="shared" si="28"/>
        <v>0.72372343105543924</v>
      </c>
      <c r="O175">
        <f t="shared" si="29"/>
        <v>0.73666061305668096</v>
      </c>
    </row>
    <row r="176" spans="1:15" ht="13.2" x14ac:dyDescent="0.25">
      <c r="A176" s="14">
        <v>10</v>
      </c>
      <c r="B176" s="14" t="s">
        <v>105</v>
      </c>
      <c r="C176" s="14" t="s">
        <v>106</v>
      </c>
      <c r="D176" s="6">
        <v>40179</v>
      </c>
      <c r="E176" s="8">
        <v>15389</v>
      </c>
      <c r="F176" s="8">
        <v>14311</v>
      </c>
      <c r="G176" s="8">
        <f t="shared" si="25"/>
        <v>29700</v>
      </c>
      <c r="H176" s="12">
        <f t="shared" si="21"/>
        <v>0.51814814814814814</v>
      </c>
      <c r="I176" s="12">
        <f t="shared" si="22"/>
        <v>0.48185185185185186</v>
      </c>
      <c r="J176">
        <f t="shared" si="23"/>
        <v>22076.541666666668</v>
      </c>
      <c r="K176">
        <f t="shared" si="26"/>
        <v>22082.125</v>
      </c>
      <c r="L176">
        <f t="shared" si="27"/>
        <v>44158.666666666664</v>
      </c>
      <c r="M176">
        <f t="shared" si="24"/>
        <v>0.69707476072829944</v>
      </c>
      <c r="N176">
        <f t="shared" si="28"/>
        <v>0.6480807440407117</v>
      </c>
      <c r="O176">
        <f t="shared" si="29"/>
        <v>0.67257465503185487</v>
      </c>
    </row>
    <row r="177" spans="1:15" ht="13.2" x14ac:dyDescent="0.25">
      <c r="A177" s="14">
        <v>9</v>
      </c>
      <c r="B177" s="14" t="s">
        <v>94</v>
      </c>
      <c r="C177" s="14" t="s">
        <v>109</v>
      </c>
      <c r="D177" s="6">
        <v>40148</v>
      </c>
      <c r="E177" s="8">
        <v>17258</v>
      </c>
      <c r="F177" s="8">
        <v>19301</v>
      </c>
      <c r="G177" s="8">
        <f t="shared" si="25"/>
        <v>36559</v>
      </c>
      <c r="H177" s="12">
        <f t="shared" si="21"/>
        <v>0.47205886375447909</v>
      </c>
      <c r="I177" s="12">
        <f t="shared" si="22"/>
        <v>0.52794113624552097</v>
      </c>
      <c r="J177">
        <f t="shared" si="23"/>
        <v>21768.625</v>
      </c>
      <c r="K177">
        <f t="shared" si="26"/>
        <v>21800.458333333332</v>
      </c>
      <c r="L177">
        <f t="shared" si="27"/>
        <v>43569.083333333336</v>
      </c>
      <c r="M177">
        <f t="shared" si="24"/>
        <v>0.79279237893987331</v>
      </c>
      <c r="N177">
        <f t="shared" si="28"/>
        <v>0.88534835850163707</v>
      </c>
      <c r="O177">
        <f t="shared" si="29"/>
        <v>0.83910418129063225</v>
      </c>
    </row>
    <row r="178" spans="1:15" ht="13.2" x14ac:dyDescent="0.25">
      <c r="A178" s="14">
        <v>9</v>
      </c>
      <c r="B178" s="14" t="s">
        <v>95</v>
      </c>
      <c r="C178" s="14" t="s">
        <v>109</v>
      </c>
      <c r="D178" s="6">
        <v>40118</v>
      </c>
      <c r="E178" s="8">
        <v>18490</v>
      </c>
      <c r="F178" s="8">
        <v>18015</v>
      </c>
      <c r="G178" s="8">
        <f t="shared" si="25"/>
        <v>36505</v>
      </c>
      <c r="H178" s="12">
        <f t="shared" si="21"/>
        <v>0.50650595808793319</v>
      </c>
      <c r="I178" s="12">
        <f t="shared" si="22"/>
        <v>0.49349404191206686</v>
      </c>
      <c r="J178">
        <f t="shared" si="23"/>
        <v>21634</v>
      </c>
      <c r="K178">
        <f t="shared" si="26"/>
        <v>21693.916666666668</v>
      </c>
      <c r="L178">
        <f t="shared" si="27"/>
        <v>43327.916666666664</v>
      </c>
      <c r="M178">
        <f t="shared" si="24"/>
        <v>0.85467319959323285</v>
      </c>
      <c r="N178">
        <f t="shared" si="28"/>
        <v>0.83041712922593502</v>
      </c>
      <c r="O178">
        <f t="shared" si="29"/>
        <v>0.8425283929721985</v>
      </c>
    </row>
    <row r="179" spans="1:15" ht="13.2" x14ac:dyDescent="0.25">
      <c r="A179" s="14">
        <v>9</v>
      </c>
      <c r="B179" s="14" t="s">
        <v>96</v>
      </c>
      <c r="C179" s="14" t="s">
        <v>109</v>
      </c>
      <c r="D179" s="6">
        <v>40087</v>
      </c>
      <c r="E179" s="8">
        <v>20508</v>
      </c>
      <c r="F179" s="8">
        <v>19976</v>
      </c>
      <c r="G179" s="8">
        <f t="shared" si="25"/>
        <v>40484</v>
      </c>
      <c r="H179" s="12">
        <f t="shared" si="21"/>
        <v>0.50657049698646384</v>
      </c>
      <c r="I179" s="12">
        <f t="shared" si="22"/>
        <v>0.49342950301353622</v>
      </c>
      <c r="J179">
        <f t="shared" si="23"/>
        <v>21731.5</v>
      </c>
      <c r="K179">
        <f t="shared" si="26"/>
        <v>21752.083333333332</v>
      </c>
      <c r="L179">
        <f t="shared" si="27"/>
        <v>43483.583333333336</v>
      </c>
      <c r="M179">
        <f t="shared" si="24"/>
        <v>0.94369923843268988</v>
      </c>
      <c r="N179">
        <f t="shared" si="28"/>
        <v>0.91834881716310701</v>
      </c>
      <c r="O179">
        <f t="shared" si="29"/>
        <v>0.93101802787642074</v>
      </c>
    </row>
    <row r="180" spans="1:15" ht="13.2" x14ac:dyDescent="0.25">
      <c r="A180" s="14">
        <v>9</v>
      </c>
      <c r="B180" s="14" t="s">
        <v>97</v>
      </c>
      <c r="C180" s="14" t="s">
        <v>108</v>
      </c>
      <c r="D180" s="6">
        <v>40057</v>
      </c>
      <c r="E180" s="8">
        <v>23216</v>
      </c>
      <c r="F180" s="8">
        <v>25175</v>
      </c>
      <c r="G180" s="8">
        <f t="shared" si="25"/>
        <v>48391</v>
      </c>
      <c r="H180" s="12">
        <f t="shared" si="21"/>
        <v>0.47975863280362052</v>
      </c>
      <c r="I180" s="12">
        <f t="shared" si="22"/>
        <v>0.52024136719637948</v>
      </c>
      <c r="J180">
        <f t="shared" si="23"/>
        <v>21841.583333333332</v>
      </c>
      <c r="K180">
        <f t="shared" si="26"/>
        <v>21867.75</v>
      </c>
      <c r="L180">
        <f t="shared" si="27"/>
        <v>43709.333333333336</v>
      </c>
      <c r="M180">
        <f t="shared" si="24"/>
        <v>1.0629266040694547</v>
      </c>
      <c r="N180">
        <f t="shared" si="28"/>
        <v>1.1512386962536154</v>
      </c>
      <c r="O180">
        <f t="shared" si="29"/>
        <v>1.1071090842535538</v>
      </c>
    </row>
    <row r="181" spans="1:15" ht="13.2" x14ac:dyDescent="0.25">
      <c r="A181" s="14">
        <v>9</v>
      </c>
      <c r="B181" s="14" t="s">
        <v>98</v>
      </c>
      <c r="C181" s="14" t="s">
        <v>108</v>
      </c>
      <c r="D181" s="6">
        <v>40026</v>
      </c>
      <c r="E181" s="8">
        <v>32101</v>
      </c>
      <c r="F181" s="8">
        <v>32517</v>
      </c>
      <c r="G181" s="8">
        <f t="shared" si="25"/>
        <v>64618</v>
      </c>
      <c r="H181" s="12">
        <f t="shared" si="21"/>
        <v>0.49678108267046334</v>
      </c>
      <c r="I181" s="12">
        <f t="shared" si="22"/>
        <v>0.50321891732953661</v>
      </c>
      <c r="J181">
        <f t="shared" si="23"/>
        <v>21861.583333333332</v>
      </c>
      <c r="K181">
        <f t="shared" si="26"/>
        <v>21972.666666666668</v>
      </c>
      <c r="L181">
        <f t="shared" si="27"/>
        <v>43834.25</v>
      </c>
      <c r="M181">
        <f t="shared" si="24"/>
        <v>1.4683748889795265</v>
      </c>
      <c r="N181">
        <f t="shared" si="28"/>
        <v>1.4798840984253163</v>
      </c>
      <c r="O181">
        <f t="shared" si="29"/>
        <v>1.474144076834895</v>
      </c>
    </row>
    <row r="182" spans="1:15" ht="13.2" x14ac:dyDescent="0.25">
      <c r="A182" s="14">
        <v>9</v>
      </c>
      <c r="B182" s="14" t="s">
        <v>99</v>
      </c>
      <c r="C182" s="14" t="s">
        <v>108</v>
      </c>
      <c r="D182" s="6">
        <v>39995</v>
      </c>
      <c r="E182" s="8">
        <v>31789</v>
      </c>
      <c r="F182" s="8">
        <v>30864</v>
      </c>
      <c r="G182" s="8">
        <f t="shared" si="25"/>
        <v>62653</v>
      </c>
      <c r="H182" s="12">
        <f t="shared" si="21"/>
        <v>0.50738192903771562</v>
      </c>
      <c r="I182" s="12">
        <f t="shared" si="22"/>
        <v>0.49261807096228433</v>
      </c>
      <c r="J182">
        <f t="shared" si="23"/>
        <v>21981.291666666668</v>
      </c>
      <c r="K182">
        <f t="shared" si="26"/>
        <v>22079.541666666668</v>
      </c>
      <c r="L182">
        <f t="shared" si="27"/>
        <v>44060.833333333336</v>
      </c>
      <c r="M182">
        <f t="shared" si="24"/>
        <v>1.4461843499491043</v>
      </c>
      <c r="N182">
        <f t="shared" si="28"/>
        <v>1.3978551034234179</v>
      </c>
      <c r="O182">
        <f t="shared" si="29"/>
        <v>1.4219658426796284</v>
      </c>
    </row>
    <row r="183" spans="1:15" ht="13.2" x14ac:dyDescent="0.25">
      <c r="A183" s="14">
        <v>9</v>
      </c>
      <c r="B183" s="14" t="s">
        <v>100</v>
      </c>
      <c r="C183" s="14" t="s">
        <v>107</v>
      </c>
      <c r="D183" s="6">
        <v>39965</v>
      </c>
      <c r="E183" s="8">
        <v>22282</v>
      </c>
      <c r="F183" s="8">
        <v>21194</v>
      </c>
      <c r="G183" s="8">
        <f t="shared" si="25"/>
        <v>43476</v>
      </c>
      <c r="H183" s="12">
        <f t="shared" si="21"/>
        <v>0.51251265065783425</v>
      </c>
      <c r="I183" s="12">
        <f t="shared" si="22"/>
        <v>0.48748734934216581</v>
      </c>
      <c r="J183">
        <f t="shared" si="23"/>
        <v>22056.583333333332</v>
      </c>
      <c r="K183">
        <f t="shared" si="26"/>
        <v>22121.5</v>
      </c>
      <c r="L183">
        <f t="shared" si="27"/>
        <v>44178.083333333336</v>
      </c>
      <c r="M183">
        <f t="shared" si="24"/>
        <v>1.0102199267792307</v>
      </c>
      <c r="N183">
        <f t="shared" si="28"/>
        <v>0.95807246344054431</v>
      </c>
      <c r="O183">
        <f t="shared" si="29"/>
        <v>0.98410788154759987</v>
      </c>
    </row>
    <row r="184" spans="1:15" ht="13.2" x14ac:dyDescent="0.25">
      <c r="A184" s="14">
        <v>9</v>
      </c>
      <c r="B184" s="14" t="s">
        <v>101</v>
      </c>
      <c r="C184" s="14" t="s">
        <v>107</v>
      </c>
      <c r="D184" s="6">
        <v>39934</v>
      </c>
      <c r="E184" s="8">
        <v>18456</v>
      </c>
      <c r="F184" s="8">
        <v>19459</v>
      </c>
      <c r="G184" s="8">
        <f t="shared" si="25"/>
        <v>37915</v>
      </c>
      <c r="H184" s="12">
        <f t="shared" si="21"/>
        <v>0.48677304496900964</v>
      </c>
      <c r="I184" s="12">
        <f t="shared" si="22"/>
        <v>0.51322695503099036</v>
      </c>
      <c r="J184">
        <f t="shared" si="23"/>
        <v>22131.5</v>
      </c>
      <c r="K184">
        <f t="shared" si="26"/>
        <v>22184.833333333332</v>
      </c>
      <c r="L184">
        <f t="shared" si="27"/>
        <v>44316.333333333336</v>
      </c>
      <c r="M184">
        <f t="shared" si="24"/>
        <v>0.83392449675801461</v>
      </c>
      <c r="N184">
        <f t="shared" si="28"/>
        <v>0.87713077252477301</v>
      </c>
      <c r="O184">
        <f t="shared" si="29"/>
        <v>0.85555363334812595</v>
      </c>
    </row>
    <row r="185" spans="1:15" ht="13.2" x14ac:dyDescent="0.25">
      <c r="A185" s="14">
        <v>9</v>
      </c>
      <c r="B185" s="14" t="s">
        <v>102</v>
      </c>
      <c r="C185" s="14" t="s">
        <v>107</v>
      </c>
      <c r="D185" s="6">
        <v>39904</v>
      </c>
      <c r="E185" s="8">
        <v>23635</v>
      </c>
      <c r="F185" s="8">
        <v>23871</v>
      </c>
      <c r="G185" s="8">
        <f t="shared" ref="G185:G216" si="30">E185+F185</f>
        <v>47506</v>
      </c>
      <c r="H185" s="12">
        <f t="shared" si="21"/>
        <v>0.49751610322906581</v>
      </c>
      <c r="I185" s="12">
        <f t="shared" si="22"/>
        <v>0.50248389677093419</v>
      </c>
      <c r="J185">
        <f t="shared" si="23"/>
        <v>22239.541666666668</v>
      </c>
      <c r="K185">
        <f t="shared" si="26"/>
        <v>22310.25</v>
      </c>
      <c r="L185">
        <f t="shared" si="27"/>
        <v>44549.791666666664</v>
      </c>
      <c r="M185">
        <f t="shared" si="24"/>
        <v>1.0627467217737177</v>
      </c>
      <c r="N185">
        <f t="shared" si="28"/>
        <v>1.0699566342824487</v>
      </c>
      <c r="O185">
        <f t="shared" si="29"/>
        <v>1.0663573997259621</v>
      </c>
    </row>
    <row r="186" spans="1:15" ht="13.2" x14ac:dyDescent="0.25">
      <c r="A186" s="14">
        <v>9</v>
      </c>
      <c r="B186" s="14" t="s">
        <v>103</v>
      </c>
      <c r="C186" s="14" t="s">
        <v>106</v>
      </c>
      <c r="D186" s="6">
        <v>39873</v>
      </c>
      <c r="E186" s="8">
        <v>21288</v>
      </c>
      <c r="F186" s="8">
        <v>21427</v>
      </c>
      <c r="G186" s="8">
        <f t="shared" si="30"/>
        <v>42715</v>
      </c>
      <c r="H186" s="12">
        <f t="shared" si="21"/>
        <v>0.49837293690740958</v>
      </c>
      <c r="I186" s="12">
        <f t="shared" si="22"/>
        <v>0.50162706309259042</v>
      </c>
      <c r="J186">
        <f t="shared" si="23"/>
        <v>22507.541666666668</v>
      </c>
      <c r="K186">
        <f t="shared" si="26"/>
        <v>22559.458333333332</v>
      </c>
      <c r="L186">
        <f t="shared" si="27"/>
        <v>45067</v>
      </c>
      <c r="M186">
        <f t="shared" si="24"/>
        <v>0.94581630971840913</v>
      </c>
      <c r="N186">
        <f t="shared" si="28"/>
        <v>0.94980117356541149</v>
      </c>
      <c r="O186">
        <f t="shared" si="29"/>
        <v>0.94781103690061463</v>
      </c>
    </row>
    <row r="187" spans="1:15" ht="13.2" x14ac:dyDescent="0.25">
      <c r="A187" s="14">
        <v>9</v>
      </c>
      <c r="B187" s="14" t="s">
        <v>104</v>
      </c>
      <c r="C187" s="14" t="s">
        <v>106</v>
      </c>
      <c r="D187" s="6">
        <v>39845</v>
      </c>
      <c r="E187" s="8">
        <v>18856</v>
      </c>
      <c r="F187" s="8">
        <v>18725</v>
      </c>
      <c r="G187" s="8">
        <f t="shared" si="30"/>
        <v>37581</v>
      </c>
      <c r="H187" s="12">
        <f t="shared" si="21"/>
        <v>0.50174290199835025</v>
      </c>
      <c r="I187" s="12">
        <f t="shared" si="22"/>
        <v>0.49825709800164975</v>
      </c>
      <c r="J187">
        <f t="shared" si="23"/>
        <v>22959.75</v>
      </c>
      <c r="K187">
        <f t="shared" si="26"/>
        <v>22950.375</v>
      </c>
      <c r="L187">
        <f t="shared" si="27"/>
        <v>45910.125</v>
      </c>
      <c r="M187">
        <f t="shared" si="24"/>
        <v>0.82126329772754492</v>
      </c>
      <c r="N187">
        <f t="shared" si="28"/>
        <v>0.81589080788440271</v>
      </c>
      <c r="O187">
        <f t="shared" si="29"/>
        <v>0.81857760134610824</v>
      </c>
    </row>
    <row r="188" spans="1:15" ht="13.2" x14ac:dyDescent="0.25">
      <c r="A188" s="14">
        <v>9</v>
      </c>
      <c r="B188" s="14" t="s">
        <v>105</v>
      </c>
      <c r="C188" s="14" t="s">
        <v>106</v>
      </c>
      <c r="D188" s="6">
        <v>39814</v>
      </c>
      <c r="E188" s="8">
        <v>16404</v>
      </c>
      <c r="F188" s="8">
        <v>14550</v>
      </c>
      <c r="G188" s="8">
        <f t="shared" si="30"/>
        <v>30954</v>
      </c>
      <c r="H188" s="12">
        <f t="shared" si="21"/>
        <v>0.52994766427602247</v>
      </c>
      <c r="I188" s="12">
        <f t="shared" si="22"/>
        <v>0.47005233572397753</v>
      </c>
      <c r="J188">
        <f t="shared" si="23"/>
        <v>23402.666666666668</v>
      </c>
      <c r="K188">
        <f t="shared" si="26"/>
        <v>23425.708333333332</v>
      </c>
      <c r="L188">
        <f t="shared" si="27"/>
        <v>46828.375</v>
      </c>
      <c r="M188">
        <f t="shared" si="24"/>
        <v>0.70094576116681861</v>
      </c>
      <c r="N188">
        <f t="shared" si="28"/>
        <v>0.62111248859426171</v>
      </c>
      <c r="O188">
        <f t="shared" si="29"/>
        <v>0.66100948410018501</v>
      </c>
    </row>
    <row r="189" spans="1:15" ht="13.2" x14ac:dyDescent="0.25">
      <c r="A189" s="14">
        <v>8</v>
      </c>
      <c r="B189" s="14" t="s">
        <v>94</v>
      </c>
      <c r="C189" s="14" t="s">
        <v>109</v>
      </c>
      <c r="D189" s="6">
        <v>39783</v>
      </c>
      <c r="E189" s="8">
        <v>18050</v>
      </c>
      <c r="F189" s="8">
        <v>20069</v>
      </c>
      <c r="G189" s="8">
        <f t="shared" si="30"/>
        <v>38119</v>
      </c>
      <c r="H189" s="12">
        <f t="shared" si="21"/>
        <v>0.47351714368162856</v>
      </c>
      <c r="I189" s="12">
        <f t="shared" si="22"/>
        <v>0.52648285631837144</v>
      </c>
      <c r="J189">
        <f t="shared" si="23"/>
        <v>23798.75</v>
      </c>
      <c r="K189">
        <f t="shared" si="26"/>
        <v>23884.041666666668</v>
      </c>
      <c r="L189">
        <f t="shared" si="27"/>
        <v>47682.791666666664</v>
      </c>
      <c r="M189">
        <f t="shared" si="24"/>
        <v>0.75844319554598461</v>
      </c>
      <c r="N189">
        <f t="shared" si="28"/>
        <v>0.84026817069277426</v>
      </c>
      <c r="O189">
        <f t="shared" si="29"/>
        <v>0.7994288645362102</v>
      </c>
    </row>
    <row r="190" spans="1:15" ht="13.2" x14ac:dyDescent="0.25">
      <c r="A190" s="14">
        <v>8</v>
      </c>
      <c r="B190" s="14" t="s">
        <v>95</v>
      </c>
      <c r="C190" s="14" t="s">
        <v>109</v>
      </c>
      <c r="D190" s="6">
        <v>39753</v>
      </c>
      <c r="E190" s="8">
        <v>19496</v>
      </c>
      <c r="F190" s="8">
        <v>18767</v>
      </c>
      <c r="G190" s="8">
        <f t="shared" si="30"/>
        <v>38263</v>
      </c>
      <c r="H190" s="12">
        <f t="shared" si="21"/>
        <v>0.50952617411075973</v>
      </c>
      <c r="I190" s="12">
        <f t="shared" si="22"/>
        <v>0.49047382588924027</v>
      </c>
      <c r="J190">
        <f t="shared" si="23"/>
        <v>24150.416666666668</v>
      </c>
      <c r="K190">
        <f t="shared" si="26"/>
        <v>24273.666666666668</v>
      </c>
      <c r="L190">
        <f t="shared" si="27"/>
        <v>48424.083333333336</v>
      </c>
      <c r="M190">
        <f t="shared" si="24"/>
        <v>0.80727385655872053</v>
      </c>
      <c r="N190">
        <f t="shared" si="28"/>
        <v>0.77314236277996728</v>
      </c>
      <c r="O190">
        <f t="shared" si="29"/>
        <v>0.79016467356979736</v>
      </c>
    </row>
    <row r="191" spans="1:15" ht="13.2" x14ac:dyDescent="0.25">
      <c r="A191" s="14">
        <v>8</v>
      </c>
      <c r="B191" s="14" t="s">
        <v>96</v>
      </c>
      <c r="C191" s="14" t="s">
        <v>109</v>
      </c>
      <c r="D191" s="6">
        <v>39722</v>
      </c>
      <c r="E191" s="8">
        <v>22095</v>
      </c>
      <c r="F191" s="8">
        <v>22234</v>
      </c>
      <c r="G191" s="8">
        <f t="shared" si="30"/>
        <v>44329</v>
      </c>
      <c r="H191" s="12">
        <f t="shared" si="21"/>
        <v>0.49843217758126734</v>
      </c>
      <c r="I191" s="12">
        <f t="shared" si="22"/>
        <v>0.50156782241873266</v>
      </c>
      <c r="J191">
        <f t="shared" si="23"/>
        <v>24313.875</v>
      </c>
      <c r="K191">
        <f t="shared" si="26"/>
        <v>24436.25</v>
      </c>
      <c r="L191">
        <f t="shared" si="27"/>
        <v>48750.125</v>
      </c>
      <c r="M191">
        <f t="shared" si="24"/>
        <v>0.90874037972145538</v>
      </c>
      <c r="N191">
        <f t="shared" si="28"/>
        <v>0.90987774310706426</v>
      </c>
      <c r="O191">
        <f t="shared" si="29"/>
        <v>0.90931048894746425</v>
      </c>
    </row>
    <row r="192" spans="1:15" ht="13.2" x14ac:dyDescent="0.25">
      <c r="A192" s="14">
        <v>8</v>
      </c>
      <c r="B192" s="14" t="s">
        <v>97</v>
      </c>
      <c r="C192" s="14" t="s">
        <v>108</v>
      </c>
      <c r="D192" s="6">
        <v>39692</v>
      </c>
      <c r="E192" s="8">
        <v>28061</v>
      </c>
      <c r="F192" s="8">
        <v>28898</v>
      </c>
      <c r="G192" s="8">
        <f t="shared" si="30"/>
        <v>56959</v>
      </c>
      <c r="H192" s="12">
        <f t="shared" si="21"/>
        <v>0.4926526097719412</v>
      </c>
      <c r="I192" s="12">
        <f t="shared" si="22"/>
        <v>0.50734739022805875</v>
      </c>
      <c r="J192">
        <f t="shared" si="23"/>
        <v>24573.541666666668</v>
      </c>
      <c r="K192">
        <f t="shared" si="26"/>
        <v>24670.583333333332</v>
      </c>
      <c r="L192">
        <f t="shared" si="27"/>
        <v>49244.125</v>
      </c>
      <c r="M192">
        <f t="shared" si="24"/>
        <v>1.1419192390189312</v>
      </c>
      <c r="N192">
        <f t="shared" si="28"/>
        <v>1.171354548433188</v>
      </c>
      <c r="O192">
        <f t="shared" si="29"/>
        <v>1.1566658966932604</v>
      </c>
    </row>
    <row r="193" spans="1:15" ht="13.2" x14ac:dyDescent="0.25">
      <c r="A193" s="14">
        <v>8</v>
      </c>
      <c r="B193" s="14" t="s">
        <v>98</v>
      </c>
      <c r="C193" s="14" t="s">
        <v>108</v>
      </c>
      <c r="D193" s="6">
        <v>39661</v>
      </c>
      <c r="E193" s="8">
        <v>38109</v>
      </c>
      <c r="F193" s="8">
        <v>38176</v>
      </c>
      <c r="G193" s="8">
        <f t="shared" si="30"/>
        <v>76285</v>
      </c>
      <c r="H193" s="12">
        <f t="shared" si="21"/>
        <v>0.49956085731139804</v>
      </c>
      <c r="I193" s="12">
        <f t="shared" si="22"/>
        <v>0.5004391426886019</v>
      </c>
      <c r="J193">
        <f t="shared" si="23"/>
        <v>24756.208333333332</v>
      </c>
      <c r="K193">
        <f t="shared" si="26"/>
        <v>24842.291666666668</v>
      </c>
      <c r="L193">
        <f t="shared" si="27"/>
        <v>49598.5</v>
      </c>
      <c r="M193">
        <f t="shared" si="24"/>
        <v>1.53937143713109</v>
      </c>
      <c r="N193">
        <f t="shared" si="28"/>
        <v>1.5367342317788046</v>
      </c>
      <c r="O193">
        <f t="shared" si="29"/>
        <v>1.5380505458834441</v>
      </c>
    </row>
    <row r="194" spans="1:15" ht="13.2" x14ac:dyDescent="0.25">
      <c r="A194" s="14">
        <v>8</v>
      </c>
      <c r="B194" s="14" t="s">
        <v>99</v>
      </c>
      <c r="C194" s="14" t="s">
        <v>108</v>
      </c>
      <c r="D194" s="6">
        <v>39630</v>
      </c>
      <c r="E194" s="8">
        <v>36411</v>
      </c>
      <c r="F194" s="8">
        <v>36613</v>
      </c>
      <c r="G194" s="8">
        <f t="shared" si="30"/>
        <v>73024</v>
      </c>
      <c r="H194" s="12">
        <f t="shared" si="21"/>
        <v>0.4986168930762489</v>
      </c>
      <c r="I194" s="12">
        <f t="shared" si="22"/>
        <v>0.5013831069237511</v>
      </c>
      <c r="J194">
        <f t="shared" si="23"/>
        <v>24725.416666666668</v>
      </c>
      <c r="K194">
        <f t="shared" si="26"/>
        <v>24825.625</v>
      </c>
      <c r="L194">
        <f t="shared" si="27"/>
        <v>49551.041666666664</v>
      </c>
      <c r="M194">
        <f t="shared" si="24"/>
        <v>1.4726142127702599</v>
      </c>
      <c r="N194">
        <f t="shared" si="28"/>
        <v>1.4748067772714686</v>
      </c>
      <c r="O194">
        <f t="shared" si="29"/>
        <v>1.4737127120603755</v>
      </c>
    </row>
    <row r="195" spans="1:15" ht="13.2" x14ac:dyDescent="0.25">
      <c r="A195" s="14">
        <v>8</v>
      </c>
      <c r="B195" s="14" t="s">
        <v>100</v>
      </c>
      <c r="C195" s="14" t="s">
        <v>107</v>
      </c>
      <c r="D195" s="6">
        <v>39600</v>
      </c>
      <c r="E195" s="8">
        <v>27166</v>
      </c>
      <c r="F195" s="8">
        <v>26445</v>
      </c>
      <c r="G195" s="8">
        <f t="shared" si="30"/>
        <v>53611</v>
      </c>
      <c r="H195" s="12">
        <f t="shared" si="21"/>
        <v>0.50672436626811657</v>
      </c>
      <c r="I195" s="12">
        <f t="shared" si="22"/>
        <v>0.49327563373188338</v>
      </c>
      <c r="J195">
        <f t="shared" si="23"/>
        <v>24753.625</v>
      </c>
      <c r="K195">
        <f t="shared" si="26"/>
        <v>24873.458333333332</v>
      </c>
      <c r="L195">
        <f t="shared" si="27"/>
        <v>49627.083333333336</v>
      </c>
      <c r="M195">
        <f t="shared" si="24"/>
        <v>1.0974554231955926</v>
      </c>
      <c r="N195">
        <f t="shared" si="28"/>
        <v>1.0631814702083715</v>
      </c>
      <c r="O195">
        <f t="shared" si="29"/>
        <v>1.0802770664539691</v>
      </c>
    </row>
    <row r="196" spans="1:15" ht="13.2" x14ac:dyDescent="0.25">
      <c r="A196" s="14">
        <v>8</v>
      </c>
      <c r="B196" s="14" t="s">
        <v>101</v>
      </c>
      <c r="C196" s="14" t="s">
        <v>107</v>
      </c>
      <c r="D196" s="6">
        <v>39569</v>
      </c>
      <c r="E196" s="8">
        <v>22012</v>
      </c>
      <c r="F196" s="8">
        <v>23559</v>
      </c>
      <c r="G196" s="8">
        <f t="shared" si="30"/>
        <v>45571</v>
      </c>
      <c r="H196" s="12">
        <f t="shared" si="21"/>
        <v>0.48302648614250293</v>
      </c>
      <c r="I196" s="12">
        <f t="shared" si="22"/>
        <v>0.51697351385749712</v>
      </c>
      <c r="J196">
        <f t="shared" si="23"/>
        <v>24655.875</v>
      </c>
      <c r="K196">
        <f t="shared" si="26"/>
        <v>24804.75</v>
      </c>
      <c r="L196">
        <f t="shared" si="27"/>
        <v>49460.625</v>
      </c>
      <c r="M196">
        <f t="shared" si="24"/>
        <v>0.89276896480047863</v>
      </c>
      <c r="N196">
        <f t="shared" si="28"/>
        <v>0.94977776433949146</v>
      </c>
      <c r="O196">
        <f t="shared" si="29"/>
        <v>0.92135916195963963</v>
      </c>
    </row>
    <row r="197" spans="1:15" ht="13.2" x14ac:dyDescent="0.25">
      <c r="A197" s="14">
        <v>8</v>
      </c>
      <c r="B197" s="14" t="s">
        <v>102</v>
      </c>
      <c r="C197" s="14" t="s">
        <v>107</v>
      </c>
      <c r="D197" s="6">
        <v>39539</v>
      </c>
      <c r="E197" s="8">
        <v>24002</v>
      </c>
      <c r="F197" s="8">
        <v>23673</v>
      </c>
      <c r="G197" s="8">
        <f t="shared" si="30"/>
        <v>47675</v>
      </c>
      <c r="H197" s="12">
        <f t="shared" ref="H197:H248" si="31">E197/G197</f>
        <v>0.50345044572627162</v>
      </c>
      <c r="I197" s="12">
        <f t="shared" ref="I197:I248" si="32">F197/G197</f>
        <v>0.49654955427372838</v>
      </c>
      <c r="J197">
        <f t="shared" si="23"/>
        <v>24509.75</v>
      </c>
      <c r="K197">
        <f t="shared" si="26"/>
        <v>24706.833333333332</v>
      </c>
      <c r="L197">
        <f t="shared" si="27"/>
        <v>49216.583333333336</v>
      </c>
      <c r="M197">
        <f t="shared" si="24"/>
        <v>0.97928375442425974</v>
      </c>
      <c r="N197">
        <f t="shared" si="28"/>
        <v>0.95815597574220357</v>
      </c>
      <c r="O197">
        <f t="shared" si="29"/>
        <v>0.96867756294880281</v>
      </c>
    </row>
    <row r="198" spans="1:15" ht="13.2" x14ac:dyDescent="0.25">
      <c r="A198" s="14">
        <v>8</v>
      </c>
      <c r="B198" s="14" t="s">
        <v>103</v>
      </c>
      <c r="C198" s="14" t="s">
        <v>106</v>
      </c>
      <c r="D198" s="6">
        <v>39508</v>
      </c>
      <c r="E198" s="8">
        <v>27153</v>
      </c>
      <c r="F198" s="8">
        <v>27249</v>
      </c>
      <c r="G198" s="8">
        <f t="shared" si="30"/>
        <v>54402</v>
      </c>
      <c r="H198" s="12">
        <f t="shared" si="31"/>
        <v>0.4991176794970773</v>
      </c>
      <c r="I198" s="12">
        <f t="shared" si="32"/>
        <v>0.5008823205029227</v>
      </c>
      <c r="J198">
        <f t="shared" si="23"/>
        <v>24275.875</v>
      </c>
      <c r="K198">
        <f t="shared" si="26"/>
        <v>24532.583333333332</v>
      </c>
      <c r="L198">
        <f t="shared" si="27"/>
        <v>48808.458333333336</v>
      </c>
      <c r="M198">
        <f t="shared" si="24"/>
        <v>1.1185178701076686</v>
      </c>
      <c r="N198">
        <f t="shared" si="28"/>
        <v>1.1107268904280363</v>
      </c>
      <c r="O198">
        <f t="shared" si="29"/>
        <v>1.1146018919193479</v>
      </c>
    </row>
    <row r="199" spans="1:15" ht="13.2" x14ac:dyDescent="0.25">
      <c r="A199" s="14">
        <v>8</v>
      </c>
      <c r="B199" s="14" t="s">
        <v>104</v>
      </c>
      <c r="C199" s="14" t="s">
        <v>106</v>
      </c>
      <c r="D199" s="6">
        <v>39479</v>
      </c>
      <c r="E199" s="8">
        <v>17375</v>
      </c>
      <c r="F199" s="8">
        <v>17024</v>
      </c>
      <c r="G199" s="8">
        <f t="shared" si="30"/>
        <v>34399</v>
      </c>
      <c r="H199" s="12">
        <f t="shared" si="31"/>
        <v>0.50510189249687487</v>
      </c>
      <c r="I199" s="12">
        <f t="shared" si="32"/>
        <v>0.49489810750312507</v>
      </c>
      <c r="J199">
        <f t="shared" si="23"/>
        <v>23846.833333333332</v>
      </c>
      <c r="K199">
        <f t="shared" si="26"/>
        <v>24147.708333333332</v>
      </c>
      <c r="L199">
        <f t="shared" si="27"/>
        <v>47994.541666666664</v>
      </c>
      <c r="M199">
        <f t="shared" si="24"/>
        <v>0.72860827083959434</v>
      </c>
      <c r="N199">
        <f t="shared" si="28"/>
        <v>0.70499443528975325</v>
      </c>
      <c r="O199">
        <f t="shared" si="29"/>
        <v>0.71672733618145812</v>
      </c>
    </row>
    <row r="200" spans="1:15" ht="13.2" x14ac:dyDescent="0.25">
      <c r="A200" s="14">
        <v>8</v>
      </c>
      <c r="B200" s="14" t="s">
        <v>105</v>
      </c>
      <c r="C200" s="14" t="s">
        <v>106</v>
      </c>
      <c r="D200" s="6">
        <v>39448</v>
      </c>
      <c r="E200" s="8">
        <v>17146</v>
      </c>
      <c r="F200" s="8">
        <v>15851</v>
      </c>
      <c r="G200" s="8">
        <f t="shared" si="30"/>
        <v>32997</v>
      </c>
      <c r="H200" s="12">
        <f t="shared" si="31"/>
        <v>0.51962299602994211</v>
      </c>
      <c r="I200" s="12">
        <f t="shared" si="32"/>
        <v>0.48037700397005789</v>
      </c>
      <c r="J200">
        <f t="shared" si="23"/>
        <v>23367.833333333332</v>
      </c>
      <c r="K200">
        <f t="shared" si="26"/>
        <v>23592.041666666668</v>
      </c>
      <c r="L200">
        <f t="shared" si="27"/>
        <v>46959.875</v>
      </c>
      <c r="M200">
        <f t="shared" si="24"/>
        <v>0.73374367898892356</v>
      </c>
      <c r="N200">
        <f t="shared" si="28"/>
        <v>0.67187911177674675</v>
      </c>
      <c r="O200">
        <f t="shared" si="29"/>
        <v>0.70266371024198848</v>
      </c>
    </row>
    <row r="201" spans="1:15" ht="13.2" x14ac:dyDescent="0.25">
      <c r="A201" s="14">
        <v>7</v>
      </c>
      <c r="B201" s="14" t="s">
        <v>94</v>
      </c>
      <c r="C201" s="14" t="s">
        <v>109</v>
      </c>
      <c r="D201" s="6">
        <v>39417</v>
      </c>
      <c r="E201" s="8">
        <v>17985</v>
      </c>
      <c r="F201" s="8">
        <v>19916</v>
      </c>
      <c r="G201" s="8">
        <f t="shared" si="30"/>
        <v>37901</v>
      </c>
      <c r="H201" s="12">
        <f t="shared" si="31"/>
        <v>0.47452573810717397</v>
      </c>
      <c r="I201" s="12">
        <f t="shared" si="32"/>
        <v>0.52547426189282609</v>
      </c>
      <c r="J201">
        <f t="shared" si="23"/>
        <v>22917.833333333332</v>
      </c>
      <c r="K201">
        <f t="shared" si="26"/>
        <v>23024</v>
      </c>
      <c r="L201">
        <f t="shared" si="27"/>
        <v>45941.833333333336</v>
      </c>
      <c r="M201">
        <f t="shared" si="24"/>
        <v>0.78476004857934512</v>
      </c>
      <c r="N201">
        <f t="shared" si="28"/>
        <v>0.86501042390548988</v>
      </c>
      <c r="O201">
        <f t="shared" si="29"/>
        <v>0.82497796126261103</v>
      </c>
    </row>
    <row r="202" spans="1:15" ht="13.2" x14ac:dyDescent="0.25">
      <c r="A202" s="14">
        <v>7</v>
      </c>
      <c r="B202" s="14" t="s">
        <v>95</v>
      </c>
      <c r="C202" s="14" t="s">
        <v>109</v>
      </c>
      <c r="D202" s="6">
        <v>39387</v>
      </c>
      <c r="E202" s="8">
        <v>17215</v>
      </c>
      <c r="F202" s="8">
        <v>17271</v>
      </c>
      <c r="G202" s="8">
        <f t="shared" si="30"/>
        <v>34486</v>
      </c>
      <c r="H202" s="12">
        <f t="shared" si="31"/>
        <v>0.49918807632082585</v>
      </c>
      <c r="I202" s="12">
        <f t="shared" si="32"/>
        <v>0.50081192367917415</v>
      </c>
      <c r="J202">
        <f t="shared" si="23"/>
        <v>22479.958333333332</v>
      </c>
      <c r="K202">
        <f t="shared" si="26"/>
        <v>22506.125</v>
      </c>
      <c r="L202">
        <f t="shared" si="27"/>
        <v>44986.083333333336</v>
      </c>
      <c r="M202">
        <f t="shared" si="24"/>
        <v>0.76579323434392488</v>
      </c>
      <c r="N202">
        <f t="shared" si="28"/>
        <v>0.76739109908969227</v>
      </c>
      <c r="O202">
        <f t="shared" si="29"/>
        <v>0.76659263142490364</v>
      </c>
    </row>
    <row r="203" spans="1:15" ht="13.2" x14ac:dyDescent="0.25">
      <c r="A203" s="14">
        <v>7</v>
      </c>
      <c r="B203" s="14" t="s">
        <v>96</v>
      </c>
      <c r="C203" s="14" t="s">
        <v>109</v>
      </c>
      <c r="D203" s="6">
        <v>39356</v>
      </c>
      <c r="E203" s="8">
        <v>20869</v>
      </c>
      <c r="F203" s="8">
        <v>21380</v>
      </c>
      <c r="G203" s="8">
        <f t="shared" si="30"/>
        <v>42249</v>
      </c>
      <c r="H203" s="12">
        <f t="shared" si="31"/>
        <v>0.49395251958626241</v>
      </c>
      <c r="I203" s="12">
        <f t="shared" si="32"/>
        <v>0.50604748041373759</v>
      </c>
      <c r="J203">
        <f t="shared" si="23"/>
        <v>22291.333333333332</v>
      </c>
      <c r="K203">
        <f t="shared" si="26"/>
        <v>22318.791666666668</v>
      </c>
      <c r="L203">
        <f t="shared" si="27"/>
        <v>44610.125</v>
      </c>
      <c r="M203">
        <f t="shared" si="24"/>
        <v>0.93619343840655567</v>
      </c>
      <c r="N203">
        <f t="shared" si="28"/>
        <v>0.95793716431034381</v>
      </c>
      <c r="O203">
        <f t="shared" si="29"/>
        <v>0.94707199318540358</v>
      </c>
    </row>
    <row r="204" spans="1:15" ht="13.2" x14ac:dyDescent="0.25">
      <c r="A204" s="14">
        <v>7</v>
      </c>
      <c r="B204" s="14" t="s">
        <v>97</v>
      </c>
      <c r="C204" s="14" t="s">
        <v>108</v>
      </c>
      <c r="D204" s="6">
        <v>39326</v>
      </c>
      <c r="E204" s="8">
        <v>23674</v>
      </c>
      <c r="F204" s="8">
        <v>25570</v>
      </c>
      <c r="G204" s="8">
        <f t="shared" si="30"/>
        <v>49244</v>
      </c>
      <c r="H204" s="12">
        <f t="shared" si="31"/>
        <v>0.48074892372674843</v>
      </c>
      <c r="I204" s="12">
        <f t="shared" si="32"/>
        <v>0.51925107627325151</v>
      </c>
      <c r="J204">
        <f t="shared" ref="J204:J242" si="33">(0.5*E198+E199+E200+E201+E202+E203+E204+E205+E206+E207+E208+E209+E210*0.5)/12</f>
        <v>21822.208333333332</v>
      </c>
      <c r="K204">
        <f t="shared" si="26"/>
        <v>21878.208333333332</v>
      </c>
      <c r="L204">
        <f t="shared" si="27"/>
        <v>43700.416666666664</v>
      </c>
      <c r="M204">
        <f t="shared" ref="M204:M242" si="34">E204/J204</f>
        <v>1.0848581242732462</v>
      </c>
      <c r="N204">
        <f t="shared" si="28"/>
        <v>1.1687428700933387</v>
      </c>
      <c r="O204">
        <f t="shared" si="29"/>
        <v>1.1268542443340548</v>
      </c>
    </row>
    <row r="205" spans="1:15" ht="13.2" x14ac:dyDescent="0.25">
      <c r="A205" s="14">
        <v>7</v>
      </c>
      <c r="B205" s="14" t="s">
        <v>98</v>
      </c>
      <c r="C205" s="14" t="s">
        <v>108</v>
      </c>
      <c r="D205" s="6">
        <v>39295</v>
      </c>
      <c r="E205" s="8">
        <v>32199</v>
      </c>
      <c r="F205" s="8">
        <v>32267</v>
      </c>
      <c r="G205" s="8">
        <f t="shared" si="30"/>
        <v>64466</v>
      </c>
      <c r="H205" s="12">
        <f t="shared" si="31"/>
        <v>0.49947259020258739</v>
      </c>
      <c r="I205" s="12">
        <f t="shared" si="32"/>
        <v>0.50052740979741261</v>
      </c>
      <c r="J205">
        <f t="shared" si="33"/>
        <v>21425.833333333332</v>
      </c>
      <c r="K205">
        <f t="shared" si="26"/>
        <v>21471.041666666668</v>
      </c>
      <c r="L205">
        <f t="shared" si="27"/>
        <v>42896.875</v>
      </c>
      <c r="M205">
        <f t="shared" si="34"/>
        <v>1.5028120259810978</v>
      </c>
      <c r="N205">
        <f t="shared" si="28"/>
        <v>1.5028148378144981</v>
      </c>
      <c r="O205">
        <f t="shared" si="29"/>
        <v>1.5028134333794712</v>
      </c>
    </row>
    <row r="206" spans="1:15" ht="13.2" x14ac:dyDescent="0.25">
      <c r="A206" s="14">
        <v>7</v>
      </c>
      <c r="B206" s="14" t="s">
        <v>99</v>
      </c>
      <c r="C206" s="14" t="s">
        <v>108</v>
      </c>
      <c r="D206" s="6">
        <v>39264</v>
      </c>
      <c r="E206" s="8">
        <v>30825</v>
      </c>
      <c r="F206" s="8">
        <v>29186</v>
      </c>
      <c r="G206" s="8">
        <f t="shared" si="30"/>
        <v>60011</v>
      </c>
      <c r="H206" s="12">
        <f t="shared" si="31"/>
        <v>0.51365582976454316</v>
      </c>
      <c r="I206" s="12">
        <f t="shared" si="32"/>
        <v>0.48634417023545684</v>
      </c>
      <c r="J206">
        <f t="shared" si="33"/>
        <v>21366.333333333332</v>
      </c>
      <c r="K206">
        <f t="shared" si="26"/>
        <v>21422.666666666668</v>
      </c>
      <c r="L206">
        <f t="shared" si="27"/>
        <v>42789</v>
      </c>
      <c r="M206">
        <f t="shared" si="34"/>
        <v>1.4426902135758748</v>
      </c>
      <c r="N206">
        <f t="shared" si="28"/>
        <v>1.3623887471214289</v>
      </c>
      <c r="O206">
        <f t="shared" si="29"/>
        <v>1.4024866203930917</v>
      </c>
    </row>
    <row r="207" spans="1:15" ht="13.2" x14ac:dyDescent="0.25">
      <c r="A207" s="14">
        <v>7</v>
      </c>
      <c r="B207" s="14" t="s">
        <v>100</v>
      </c>
      <c r="C207" s="14" t="s">
        <v>107</v>
      </c>
      <c r="D207" s="6">
        <v>39234</v>
      </c>
      <c r="E207" s="8">
        <v>21952</v>
      </c>
      <c r="F207" s="8">
        <v>20239</v>
      </c>
      <c r="G207" s="8">
        <f t="shared" si="30"/>
        <v>42191</v>
      </c>
      <c r="H207" s="12">
        <f t="shared" si="31"/>
        <v>0.52030053802943754</v>
      </c>
      <c r="I207" s="12">
        <f t="shared" si="32"/>
        <v>0.47969946197056246</v>
      </c>
      <c r="J207">
        <f t="shared" si="33"/>
        <v>21082.291666666668</v>
      </c>
      <c r="K207">
        <f t="shared" si="26"/>
        <v>21159.791666666668</v>
      </c>
      <c r="L207">
        <f t="shared" si="27"/>
        <v>42242.083333333336</v>
      </c>
      <c r="M207">
        <f t="shared" si="34"/>
        <v>1.0412530263352933</v>
      </c>
      <c r="N207">
        <f t="shared" si="28"/>
        <v>0.95648389732885675</v>
      </c>
      <c r="O207">
        <f t="shared" si="29"/>
        <v>0.99879070042710172</v>
      </c>
    </row>
    <row r="208" spans="1:15" ht="13.2" x14ac:dyDescent="0.25">
      <c r="A208" s="14">
        <v>7</v>
      </c>
      <c r="B208" s="14" t="s">
        <v>101</v>
      </c>
      <c r="C208" s="14" t="s">
        <v>107</v>
      </c>
      <c r="D208" s="6">
        <v>39203</v>
      </c>
      <c r="E208" s="8">
        <v>16717</v>
      </c>
      <c r="F208" s="8">
        <v>17336</v>
      </c>
      <c r="G208" s="8">
        <f t="shared" si="30"/>
        <v>34053</v>
      </c>
      <c r="H208" s="12">
        <f t="shared" si="31"/>
        <v>0.49091122661733183</v>
      </c>
      <c r="I208" s="12">
        <f t="shared" si="32"/>
        <v>0.50908877338266822</v>
      </c>
      <c r="J208">
        <f t="shared" si="33"/>
        <v>20842.75</v>
      </c>
      <c r="K208">
        <f t="shared" si="26"/>
        <v>20918.458333333332</v>
      </c>
      <c r="L208">
        <f t="shared" si="27"/>
        <v>41761.208333333336</v>
      </c>
      <c r="M208">
        <f t="shared" si="34"/>
        <v>0.8020534718307325</v>
      </c>
      <c r="N208">
        <f t="shared" si="28"/>
        <v>0.82874176116388443</v>
      </c>
      <c r="O208">
        <f t="shared" si="29"/>
        <v>0.81542180791783436</v>
      </c>
    </row>
    <row r="209" spans="1:15" ht="13.2" x14ac:dyDescent="0.25">
      <c r="A209" s="14">
        <v>7</v>
      </c>
      <c r="B209" s="14" t="s">
        <v>102</v>
      </c>
      <c r="C209" s="14" t="s">
        <v>107</v>
      </c>
      <c r="D209" s="6">
        <v>39173</v>
      </c>
      <c r="E209" s="8">
        <v>24770</v>
      </c>
      <c r="F209" s="8">
        <v>25400</v>
      </c>
      <c r="G209" s="8">
        <f t="shared" si="30"/>
        <v>50170</v>
      </c>
      <c r="H209" s="12">
        <f t="shared" si="31"/>
        <v>0.49372134741877616</v>
      </c>
      <c r="I209" s="12">
        <f t="shared" si="32"/>
        <v>0.50627865258122384</v>
      </c>
      <c r="J209">
        <f t="shared" si="33"/>
        <v>20597.166666666668</v>
      </c>
      <c r="K209">
        <f t="shared" si="26"/>
        <v>20647.166666666668</v>
      </c>
      <c r="L209">
        <f t="shared" si="27"/>
        <v>41244.333333333336</v>
      </c>
      <c r="M209">
        <f t="shared" si="34"/>
        <v>1.2025925895956562</v>
      </c>
      <c r="N209">
        <f t="shared" si="28"/>
        <v>1.230193004689909</v>
      </c>
      <c r="O209">
        <f t="shared" si="29"/>
        <v>1.2164095269653203</v>
      </c>
    </row>
    <row r="210" spans="1:15" ht="13.2" x14ac:dyDescent="0.25">
      <c r="A210" s="14">
        <v>7</v>
      </c>
      <c r="B210" s="14" t="s">
        <v>103</v>
      </c>
      <c r="C210" s="14" t="s">
        <v>106</v>
      </c>
      <c r="D210" s="6">
        <v>39142</v>
      </c>
      <c r="E210" s="8">
        <v>15126</v>
      </c>
      <c r="F210" s="8">
        <v>14948</v>
      </c>
      <c r="G210" s="8">
        <f t="shared" si="30"/>
        <v>30074</v>
      </c>
      <c r="H210" s="12">
        <f t="shared" si="31"/>
        <v>0.50295936689499232</v>
      </c>
      <c r="I210" s="12">
        <f t="shared" si="32"/>
        <v>0.49704063310500762</v>
      </c>
      <c r="J210">
        <f t="shared" si="33"/>
        <v>20372.5</v>
      </c>
      <c r="K210">
        <f t="shared" si="26"/>
        <v>20368.875</v>
      </c>
      <c r="L210">
        <f t="shared" si="27"/>
        <v>40741.375</v>
      </c>
      <c r="M210">
        <f t="shared" si="34"/>
        <v>0.74247146889188853</v>
      </c>
      <c r="N210">
        <f t="shared" si="28"/>
        <v>0.73386478143736456</v>
      </c>
      <c r="O210">
        <f t="shared" si="29"/>
        <v>0.73816850805845413</v>
      </c>
    </row>
    <row r="211" spans="1:15" ht="13.2" x14ac:dyDescent="0.25">
      <c r="A211" s="14">
        <v>7</v>
      </c>
      <c r="B211" s="14" t="s">
        <v>104</v>
      </c>
      <c r="C211" s="14" t="s">
        <v>106</v>
      </c>
      <c r="D211" s="6">
        <v>39114</v>
      </c>
      <c r="E211" s="8">
        <v>19889</v>
      </c>
      <c r="F211" s="8">
        <v>19553</v>
      </c>
      <c r="G211" s="8">
        <f t="shared" si="30"/>
        <v>39442</v>
      </c>
      <c r="H211" s="12">
        <f t="shared" si="31"/>
        <v>0.50425941889356518</v>
      </c>
      <c r="I211" s="12">
        <f t="shared" si="32"/>
        <v>0.49574058110643476</v>
      </c>
      <c r="J211">
        <f t="shared" si="33"/>
        <v>20121.5</v>
      </c>
      <c r="K211">
        <f t="shared" si="26"/>
        <v>20070.041666666668</v>
      </c>
      <c r="L211">
        <f t="shared" si="27"/>
        <v>40191.541666666664</v>
      </c>
      <c r="M211">
        <f t="shared" si="34"/>
        <v>0.98844519543771592</v>
      </c>
      <c r="N211">
        <f t="shared" si="28"/>
        <v>0.97423813685821103</v>
      </c>
      <c r="O211">
        <f t="shared" si="29"/>
        <v>0.98135076099137786</v>
      </c>
    </row>
    <row r="212" spans="1:15" ht="13.2" x14ac:dyDescent="0.25">
      <c r="A212" s="14">
        <v>7</v>
      </c>
      <c r="B212" s="14" t="s">
        <v>105</v>
      </c>
      <c r="C212" s="14" t="s">
        <v>106</v>
      </c>
      <c r="D212" s="6">
        <v>39083</v>
      </c>
      <c r="E212" s="8">
        <v>13204</v>
      </c>
      <c r="F212" s="8">
        <v>12161</v>
      </c>
      <c r="G212" s="8">
        <f t="shared" si="30"/>
        <v>25365</v>
      </c>
      <c r="H212" s="12">
        <f t="shared" si="31"/>
        <v>0.52055982653262367</v>
      </c>
      <c r="I212" s="12">
        <f t="shared" si="32"/>
        <v>0.47944017346737633</v>
      </c>
      <c r="J212">
        <f t="shared" si="33"/>
        <v>19837.083333333332</v>
      </c>
      <c r="K212">
        <f t="shared" si="26"/>
        <v>19764.166666666668</v>
      </c>
      <c r="L212">
        <f t="shared" si="27"/>
        <v>39601.25</v>
      </c>
      <c r="M212">
        <f t="shared" si="34"/>
        <v>0.66562204625175914</v>
      </c>
      <c r="N212">
        <f t="shared" si="28"/>
        <v>0.61530547708394823</v>
      </c>
      <c r="O212">
        <f t="shared" si="29"/>
        <v>0.64051008490893591</v>
      </c>
    </row>
    <row r="213" spans="1:15" ht="13.2" x14ac:dyDescent="0.25">
      <c r="A213" s="14">
        <v>6</v>
      </c>
      <c r="B213" s="14" t="s">
        <v>94</v>
      </c>
      <c r="C213" s="14" t="s">
        <v>109</v>
      </c>
      <c r="D213" s="6">
        <v>39052</v>
      </c>
      <c r="E213" s="8">
        <v>15110</v>
      </c>
      <c r="F213" s="8">
        <v>17297</v>
      </c>
      <c r="G213" s="8">
        <f t="shared" si="30"/>
        <v>32407</v>
      </c>
      <c r="H213" s="12">
        <f t="shared" si="31"/>
        <v>0.46625729009164685</v>
      </c>
      <c r="I213" s="12">
        <f t="shared" si="32"/>
        <v>0.53374270990835315</v>
      </c>
      <c r="J213">
        <f t="shared" si="33"/>
        <v>19458.5</v>
      </c>
      <c r="K213">
        <f t="shared" si="26"/>
        <v>19384.125</v>
      </c>
      <c r="L213">
        <f t="shared" si="27"/>
        <v>38842.625</v>
      </c>
      <c r="M213">
        <f t="shared" si="34"/>
        <v>0.77652439807796081</v>
      </c>
      <c r="N213">
        <f t="shared" si="28"/>
        <v>0.89232812933263683</v>
      </c>
      <c r="O213">
        <f t="shared" si="29"/>
        <v>0.83431539449251946</v>
      </c>
    </row>
    <row r="214" spans="1:15" ht="13.2" x14ac:dyDescent="0.25">
      <c r="A214" s="14">
        <v>6</v>
      </c>
      <c r="B214" s="14" t="s">
        <v>95</v>
      </c>
      <c r="C214" s="14" t="s">
        <v>109</v>
      </c>
      <c r="D214" s="6">
        <v>39022</v>
      </c>
      <c r="E214" s="8">
        <v>14341</v>
      </c>
      <c r="F214" s="8">
        <v>14098</v>
      </c>
      <c r="G214" s="8">
        <f t="shared" si="30"/>
        <v>28439</v>
      </c>
      <c r="H214" s="12">
        <f t="shared" si="31"/>
        <v>0.5042723021203277</v>
      </c>
      <c r="I214" s="12">
        <f t="shared" si="32"/>
        <v>0.4957276978796723</v>
      </c>
      <c r="J214">
        <f t="shared" si="33"/>
        <v>19142.083333333332</v>
      </c>
      <c r="K214">
        <f t="shared" si="26"/>
        <v>19117.833333333332</v>
      </c>
      <c r="L214">
        <f t="shared" si="27"/>
        <v>38259.916666666664</v>
      </c>
      <c r="M214">
        <f t="shared" si="34"/>
        <v>0.74918700071831268</v>
      </c>
      <c r="N214">
        <f t="shared" si="28"/>
        <v>0.73742666097099574</v>
      </c>
      <c r="O214">
        <f t="shared" si="29"/>
        <v>0.74331055782923383</v>
      </c>
    </row>
    <row r="215" spans="1:15" ht="13.2" x14ac:dyDescent="0.25">
      <c r="A215" s="14">
        <v>6</v>
      </c>
      <c r="B215" s="14" t="s">
        <v>96</v>
      </c>
      <c r="C215" s="14" t="s">
        <v>109</v>
      </c>
      <c r="D215" s="6">
        <v>38991</v>
      </c>
      <c r="E215" s="8">
        <v>17849</v>
      </c>
      <c r="F215" s="8">
        <v>18042</v>
      </c>
      <c r="G215" s="8">
        <f t="shared" si="30"/>
        <v>35891</v>
      </c>
      <c r="H215" s="12">
        <f t="shared" si="31"/>
        <v>0.49731130366944359</v>
      </c>
      <c r="I215" s="12">
        <f t="shared" si="32"/>
        <v>0.50268869633055646</v>
      </c>
      <c r="J215">
        <f t="shared" si="33"/>
        <v>18833.541666666668</v>
      </c>
      <c r="K215">
        <f t="shared" si="26"/>
        <v>18812.291666666668</v>
      </c>
      <c r="L215">
        <f t="shared" si="27"/>
        <v>37645.833333333336</v>
      </c>
      <c r="M215">
        <f t="shared" si="34"/>
        <v>0.94772402960144242</v>
      </c>
      <c r="N215">
        <f t="shared" si="28"/>
        <v>0.95905381011971336</v>
      </c>
      <c r="O215">
        <f t="shared" si="29"/>
        <v>0.95338572219147755</v>
      </c>
    </row>
    <row r="216" spans="1:15" ht="13.2" x14ac:dyDescent="0.25">
      <c r="A216" s="14">
        <v>6</v>
      </c>
      <c r="B216" s="14" t="s">
        <v>97</v>
      </c>
      <c r="C216" s="14" t="s">
        <v>108</v>
      </c>
      <c r="D216" s="6">
        <v>38961</v>
      </c>
      <c r="E216" s="8">
        <v>21302</v>
      </c>
      <c r="F216" s="8">
        <v>22229</v>
      </c>
      <c r="G216" s="8">
        <f t="shared" si="30"/>
        <v>43531</v>
      </c>
      <c r="H216" s="12">
        <f t="shared" si="31"/>
        <v>0.48935241551997427</v>
      </c>
      <c r="I216" s="12">
        <f t="shared" si="32"/>
        <v>0.51064758448002567</v>
      </c>
      <c r="J216">
        <f t="shared" si="33"/>
        <v>18624.25</v>
      </c>
      <c r="K216">
        <f t="shared" si="26"/>
        <v>18568.625</v>
      </c>
      <c r="L216">
        <f t="shared" si="27"/>
        <v>37192.875</v>
      </c>
      <c r="M216">
        <f t="shared" si="34"/>
        <v>1.1437776017826222</v>
      </c>
      <c r="N216">
        <f t="shared" si="28"/>
        <v>1.1971268739607805</v>
      </c>
      <c r="O216">
        <f t="shared" si="29"/>
        <v>1.1704123437620781</v>
      </c>
    </row>
    <row r="217" spans="1:15" ht="13.2" x14ac:dyDescent="0.25">
      <c r="A217" s="14">
        <v>6</v>
      </c>
      <c r="B217" s="14" t="s">
        <v>98</v>
      </c>
      <c r="C217" s="14" t="s">
        <v>108</v>
      </c>
      <c r="D217" s="6">
        <v>38930</v>
      </c>
      <c r="E217" s="8">
        <v>28547</v>
      </c>
      <c r="F217" s="8">
        <v>28436</v>
      </c>
      <c r="G217" s="8">
        <f t="shared" ref="G217:G248" si="35">E217+F217</f>
        <v>56983</v>
      </c>
      <c r="H217" s="12">
        <f t="shared" si="31"/>
        <v>0.50097397469420701</v>
      </c>
      <c r="I217" s="12">
        <f t="shared" si="32"/>
        <v>0.49902602530579293</v>
      </c>
      <c r="J217">
        <f t="shared" si="33"/>
        <v>18363.5</v>
      </c>
      <c r="K217">
        <f t="shared" si="26"/>
        <v>18296.916666666668</v>
      </c>
      <c r="L217">
        <f t="shared" si="27"/>
        <v>36660.416666666664</v>
      </c>
      <c r="M217">
        <f t="shared" si="34"/>
        <v>1.5545511476570371</v>
      </c>
      <c r="N217">
        <f t="shared" si="28"/>
        <v>1.5541416358858278</v>
      </c>
      <c r="O217">
        <f t="shared" si="29"/>
        <v>1.5543467636528956</v>
      </c>
    </row>
    <row r="218" spans="1:15" ht="13.2" x14ac:dyDescent="0.25">
      <c r="A218" s="14">
        <v>6</v>
      </c>
      <c r="B218" s="14" t="s">
        <v>99</v>
      </c>
      <c r="C218" s="14" t="s">
        <v>108</v>
      </c>
      <c r="D218" s="6">
        <v>38899</v>
      </c>
      <c r="E218" s="8">
        <v>27651</v>
      </c>
      <c r="F218" s="8">
        <v>25676</v>
      </c>
      <c r="G218" s="8">
        <f t="shared" si="35"/>
        <v>53327</v>
      </c>
      <c r="H218" s="12">
        <f t="shared" si="31"/>
        <v>0.51851782399159896</v>
      </c>
      <c r="I218" s="12">
        <f t="shared" si="32"/>
        <v>0.48148217600840099</v>
      </c>
      <c r="J218">
        <f t="shared" si="33"/>
        <v>18019.166666666668</v>
      </c>
      <c r="K218">
        <f t="shared" si="26"/>
        <v>17913.833333333332</v>
      </c>
      <c r="L218">
        <f t="shared" si="27"/>
        <v>35933</v>
      </c>
      <c r="M218">
        <f t="shared" si="34"/>
        <v>1.5345326735420617</v>
      </c>
      <c r="N218">
        <f t="shared" si="28"/>
        <v>1.4333057320692575</v>
      </c>
      <c r="O218">
        <f t="shared" si="29"/>
        <v>1.4840675702000947</v>
      </c>
    </row>
    <row r="219" spans="1:15" ht="13.2" x14ac:dyDescent="0.25">
      <c r="A219" s="14">
        <v>6</v>
      </c>
      <c r="B219" s="14" t="s">
        <v>100</v>
      </c>
      <c r="C219" s="14" t="s">
        <v>107</v>
      </c>
      <c r="D219" s="6">
        <v>38869</v>
      </c>
      <c r="E219" s="8">
        <v>16040</v>
      </c>
      <c r="F219" s="8">
        <v>14628</v>
      </c>
      <c r="G219" s="8">
        <f t="shared" si="35"/>
        <v>30668</v>
      </c>
      <c r="H219" s="12">
        <f t="shared" si="31"/>
        <v>0.52302073822877271</v>
      </c>
      <c r="I219" s="12">
        <f t="shared" si="32"/>
        <v>0.47697926177122735</v>
      </c>
      <c r="J219">
        <f t="shared" si="33"/>
        <v>18011.666666666668</v>
      </c>
      <c r="K219">
        <f t="shared" ref="K219:K242" si="36">(0.5*F213+F214+F215+F216+F217+F218+F219+F220+F221+F222+F223+F224+F225*0.5)/12</f>
        <v>17847.916666666668</v>
      </c>
      <c r="L219">
        <f t="shared" ref="L219:L242" si="37">(0.5*G213+G214+G215+G216+G217+G218+G219+G220+G221+G222+G223+G224+G225*0.5)/12</f>
        <v>35859.583333333336</v>
      </c>
      <c r="M219">
        <f t="shared" si="34"/>
        <v>0.89053391320440445</v>
      </c>
      <c r="N219">
        <f t="shared" ref="N219:N242" si="38">F219/K219</f>
        <v>0.81959145558538571</v>
      </c>
      <c r="O219">
        <f t="shared" ref="O219:O242" si="39">G219/L219</f>
        <v>0.85522466100414807</v>
      </c>
    </row>
    <row r="220" spans="1:15" ht="13.2" x14ac:dyDescent="0.25">
      <c r="A220" s="14">
        <v>6</v>
      </c>
      <c r="B220" s="14" t="s">
        <v>101</v>
      </c>
      <c r="C220" s="14" t="s">
        <v>107</v>
      </c>
      <c r="D220" s="6">
        <v>38838</v>
      </c>
      <c r="E220" s="8">
        <v>15035</v>
      </c>
      <c r="F220" s="8">
        <v>16556</v>
      </c>
      <c r="G220" s="8">
        <f t="shared" si="35"/>
        <v>31591</v>
      </c>
      <c r="H220" s="12">
        <f t="shared" si="31"/>
        <v>0.47592668798075399</v>
      </c>
      <c r="I220" s="12">
        <f t="shared" si="32"/>
        <v>0.52407331201924601</v>
      </c>
      <c r="J220">
        <f t="shared" si="33"/>
        <v>18151</v>
      </c>
      <c r="K220">
        <f t="shared" si="36"/>
        <v>17937.791666666668</v>
      </c>
      <c r="L220">
        <f t="shared" si="37"/>
        <v>36088.791666666664</v>
      </c>
      <c r="M220">
        <f t="shared" si="34"/>
        <v>0.82832901768497602</v>
      </c>
      <c r="N220">
        <f t="shared" si="38"/>
        <v>0.92296757079443537</v>
      </c>
      <c r="O220">
        <f t="shared" si="39"/>
        <v>0.87536873752353861</v>
      </c>
    </row>
    <row r="221" spans="1:15" ht="13.2" x14ac:dyDescent="0.25">
      <c r="A221" s="14">
        <v>6</v>
      </c>
      <c r="B221" s="14" t="s">
        <v>102</v>
      </c>
      <c r="C221" s="14" t="s">
        <v>107</v>
      </c>
      <c r="D221" s="6">
        <v>38808</v>
      </c>
      <c r="E221" s="8">
        <v>19047</v>
      </c>
      <c r="F221" s="8">
        <v>18847</v>
      </c>
      <c r="G221" s="8">
        <f t="shared" si="35"/>
        <v>37894</v>
      </c>
      <c r="H221" s="12">
        <f t="shared" si="31"/>
        <v>0.50263894020161504</v>
      </c>
      <c r="I221" s="12">
        <f t="shared" si="32"/>
        <v>0.49736105979838496</v>
      </c>
      <c r="J221">
        <f t="shared" si="33"/>
        <v>18258.541666666668</v>
      </c>
      <c r="K221">
        <f t="shared" si="36"/>
        <v>17995.25</v>
      </c>
      <c r="L221">
        <f t="shared" si="37"/>
        <v>36253.791666666664</v>
      </c>
      <c r="M221">
        <f t="shared" si="34"/>
        <v>1.0431829851325292</v>
      </c>
      <c r="N221">
        <f t="shared" si="38"/>
        <v>1.0473319348161321</v>
      </c>
      <c r="O221">
        <f t="shared" si="39"/>
        <v>1.0452423941863553</v>
      </c>
    </row>
    <row r="222" spans="1:15" ht="13.2" x14ac:dyDescent="0.25">
      <c r="A222" s="14">
        <v>6</v>
      </c>
      <c r="B222" s="14" t="s">
        <v>103</v>
      </c>
      <c r="C222" s="14" t="s">
        <v>106</v>
      </c>
      <c r="D222" s="6">
        <v>38777</v>
      </c>
      <c r="E222" s="8">
        <v>15826</v>
      </c>
      <c r="F222" s="8">
        <v>15653</v>
      </c>
      <c r="G222" s="8">
        <f t="shared" si="35"/>
        <v>31479</v>
      </c>
      <c r="H222" s="12">
        <f t="shared" si="31"/>
        <v>0.50274786365513513</v>
      </c>
      <c r="I222" s="12">
        <f t="shared" si="32"/>
        <v>0.49725213634486481</v>
      </c>
      <c r="J222">
        <f t="shared" si="33"/>
        <v>18360.583333333332</v>
      </c>
      <c r="K222">
        <f t="shared" si="36"/>
        <v>18086.833333333332</v>
      </c>
      <c r="L222">
        <f t="shared" si="37"/>
        <v>36447.416666666664</v>
      </c>
      <c r="M222">
        <f t="shared" si="34"/>
        <v>0.86195518479351152</v>
      </c>
      <c r="N222">
        <f t="shared" si="38"/>
        <v>0.86543618285861723</v>
      </c>
      <c r="O222">
        <f t="shared" si="39"/>
        <v>0.86368261125045442</v>
      </c>
    </row>
    <row r="223" spans="1:15" ht="13.2" x14ac:dyDescent="0.25">
      <c r="A223" s="14">
        <v>6</v>
      </c>
      <c r="B223" s="14" t="s">
        <v>104</v>
      </c>
      <c r="C223" s="14" t="s">
        <v>106</v>
      </c>
      <c r="D223" s="6">
        <v>38749</v>
      </c>
      <c r="E223" s="8">
        <v>12931</v>
      </c>
      <c r="F223" s="8">
        <v>12327</v>
      </c>
      <c r="G223" s="8">
        <f t="shared" si="35"/>
        <v>25258</v>
      </c>
      <c r="H223" s="12">
        <f t="shared" si="31"/>
        <v>0.51195660780742736</v>
      </c>
      <c r="I223" s="12">
        <f t="shared" si="32"/>
        <v>0.48804339219257264</v>
      </c>
      <c r="J223">
        <f t="shared" si="33"/>
        <v>18663.666666666668</v>
      </c>
      <c r="K223">
        <f t="shared" si="36"/>
        <v>18415.875</v>
      </c>
      <c r="L223">
        <f t="shared" si="37"/>
        <v>37079.541666666664</v>
      </c>
      <c r="M223">
        <f t="shared" si="34"/>
        <v>0.69284349270418455</v>
      </c>
      <c r="N223">
        <f t="shared" si="38"/>
        <v>0.66936814025942293</v>
      </c>
      <c r="O223">
        <f t="shared" si="39"/>
        <v>0.68118425591830178</v>
      </c>
    </row>
    <row r="224" spans="1:15" ht="13.2" x14ac:dyDescent="0.25">
      <c r="A224" s="14">
        <v>6</v>
      </c>
      <c r="B224" s="14" t="s">
        <v>105</v>
      </c>
      <c r="C224" s="14" t="s">
        <v>106</v>
      </c>
      <c r="D224" s="6">
        <v>38718</v>
      </c>
      <c r="E224" s="8">
        <v>11898</v>
      </c>
      <c r="F224" s="8">
        <v>10193</v>
      </c>
      <c r="G224" s="8">
        <f t="shared" si="35"/>
        <v>22091</v>
      </c>
      <c r="H224" s="12">
        <f t="shared" si="31"/>
        <v>0.53859037617129146</v>
      </c>
      <c r="I224" s="12">
        <f t="shared" si="32"/>
        <v>0.46140962382870854</v>
      </c>
      <c r="J224">
        <f t="shared" si="33"/>
        <v>18954.166666666668</v>
      </c>
      <c r="K224">
        <f t="shared" si="36"/>
        <v>18714.25</v>
      </c>
      <c r="L224">
        <f t="shared" si="37"/>
        <v>37668.416666666664</v>
      </c>
      <c r="M224">
        <f t="shared" si="34"/>
        <v>0.62772477467575283</v>
      </c>
      <c r="N224">
        <f t="shared" si="38"/>
        <v>0.54466516157473588</v>
      </c>
      <c r="O224">
        <f t="shared" si="39"/>
        <v>0.58645947865254056</v>
      </c>
    </row>
    <row r="225" spans="1:15" ht="13.2" x14ac:dyDescent="0.25">
      <c r="A225" s="14">
        <v>5</v>
      </c>
      <c r="B225" s="14" t="s">
        <v>94</v>
      </c>
      <c r="C225" s="14" t="s">
        <v>109</v>
      </c>
      <c r="D225" s="6">
        <v>38687</v>
      </c>
      <c r="E225" s="8">
        <v>16236</v>
      </c>
      <c r="F225" s="8">
        <v>17683</v>
      </c>
      <c r="G225" s="8">
        <f t="shared" si="35"/>
        <v>33919</v>
      </c>
      <c r="H225" s="12">
        <f t="shared" si="31"/>
        <v>0.47866977210413042</v>
      </c>
      <c r="I225" s="12">
        <f t="shared" si="32"/>
        <v>0.52133022789586958</v>
      </c>
      <c r="J225">
        <f t="shared" si="33"/>
        <v>18991.666666666668</v>
      </c>
      <c r="K225">
        <f t="shared" si="36"/>
        <v>18757.25</v>
      </c>
      <c r="L225">
        <f t="shared" si="37"/>
        <v>37748.916666666664</v>
      </c>
      <c r="M225">
        <f t="shared" si="34"/>
        <v>0.85490127248793324</v>
      </c>
      <c r="N225">
        <f t="shared" si="38"/>
        <v>0.94272881152620991</v>
      </c>
      <c r="O225">
        <f t="shared" si="39"/>
        <v>0.89854234227472318</v>
      </c>
    </row>
    <row r="226" spans="1:15" ht="13.2" x14ac:dyDescent="0.25">
      <c r="A226" s="14">
        <v>5</v>
      </c>
      <c r="B226" s="14" t="s">
        <v>95</v>
      </c>
      <c r="C226" s="14" t="s">
        <v>109</v>
      </c>
      <c r="D226" s="6">
        <v>38657</v>
      </c>
      <c r="E226" s="8">
        <v>16559</v>
      </c>
      <c r="F226" s="8">
        <v>15869</v>
      </c>
      <c r="G226" s="8">
        <f t="shared" si="35"/>
        <v>32428</v>
      </c>
      <c r="H226" s="12">
        <f t="shared" si="31"/>
        <v>0.51063895399037873</v>
      </c>
      <c r="I226" s="12">
        <f t="shared" si="32"/>
        <v>0.48936104600962133</v>
      </c>
      <c r="J226">
        <f t="shared" si="33"/>
        <v>18855.458333333332</v>
      </c>
      <c r="K226">
        <f t="shared" si="36"/>
        <v>18593.5</v>
      </c>
      <c r="L226">
        <f t="shared" si="37"/>
        <v>37448.958333333336</v>
      </c>
      <c r="M226">
        <f t="shared" si="34"/>
        <v>0.87820723884109597</v>
      </c>
      <c r="N226">
        <f t="shared" si="38"/>
        <v>0.85347029876031943</v>
      </c>
      <c r="O226">
        <f t="shared" si="39"/>
        <v>0.86592528719646178</v>
      </c>
    </row>
    <row r="227" spans="1:15" ht="13.2" x14ac:dyDescent="0.25">
      <c r="A227" s="14">
        <v>5</v>
      </c>
      <c r="B227" s="14" t="s">
        <v>96</v>
      </c>
      <c r="C227" s="14" t="s">
        <v>109</v>
      </c>
      <c r="D227" s="6">
        <v>38626</v>
      </c>
      <c r="E227" s="8">
        <v>18212</v>
      </c>
      <c r="F227" s="8">
        <v>17650</v>
      </c>
      <c r="G227" s="8">
        <f t="shared" si="35"/>
        <v>35862</v>
      </c>
      <c r="H227" s="12">
        <f t="shared" si="31"/>
        <v>0.50783559199152306</v>
      </c>
      <c r="I227" s="12">
        <f t="shared" si="32"/>
        <v>0.49216440800847694</v>
      </c>
      <c r="J227">
        <f t="shared" si="33"/>
        <v>18541.125</v>
      </c>
      <c r="K227">
        <f t="shared" si="36"/>
        <v>18261.25</v>
      </c>
      <c r="L227">
        <f t="shared" si="37"/>
        <v>36802.375</v>
      </c>
      <c r="M227">
        <f t="shared" si="34"/>
        <v>0.98224891963135996</v>
      </c>
      <c r="N227">
        <f t="shared" si="38"/>
        <v>0.96652748305838865</v>
      </c>
      <c r="O227">
        <f t="shared" si="39"/>
        <v>0.97444798059907822</v>
      </c>
    </row>
    <row r="228" spans="1:15" ht="13.2" x14ac:dyDescent="0.25">
      <c r="A228" s="14">
        <v>5</v>
      </c>
      <c r="B228" s="14" t="s">
        <v>97</v>
      </c>
      <c r="C228" s="14" t="s">
        <v>108</v>
      </c>
      <c r="D228" s="6">
        <v>38596</v>
      </c>
      <c r="E228" s="8">
        <v>23388</v>
      </c>
      <c r="F228" s="8">
        <v>24819</v>
      </c>
      <c r="G228" s="8">
        <f t="shared" si="35"/>
        <v>48207</v>
      </c>
      <c r="H228" s="12">
        <f t="shared" si="31"/>
        <v>0.48515775717219489</v>
      </c>
      <c r="I228" s="12">
        <f t="shared" si="32"/>
        <v>0.51484224282780511</v>
      </c>
      <c r="J228">
        <f t="shared" si="33"/>
        <v>18472</v>
      </c>
      <c r="K228">
        <f t="shared" si="36"/>
        <v>18179.666666666668</v>
      </c>
      <c r="L228">
        <f t="shared" si="37"/>
        <v>36651.666666666664</v>
      </c>
      <c r="M228">
        <f t="shared" si="34"/>
        <v>1.2661325249025552</v>
      </c>
      <c r="N228">
        <f t="shared" si="38"/>
        <v>1.3652065494416838</v>
      </c>
      <c r="O228">
        <f t="shared" si="39"/>
        <v>1.31527443044882</v>
      </c>
    </row>
    <row r="229" spans="1:15" ht="13.2" x14ac:dyDescent="0.25">
      <c r="A229" s="14">
        <v>5</v>
      </c>
      <c r="B229" s="14" t="s">
        <v>98</v>
      </c>
      <c r="C229" s="14" t="s">
        <v>108</v>
      </c>
      <c r="D229" s="6">
        <v>38565</v>
      </c>
      <c r="E229" s="8">
        <v>33735</v>
      </c>
      <c r="F229" s="8">
        <v>33743</v>
      </c>
      <c r="G229" s="8">
        <f t="shared" si="35"/>
        <v>67478</v>
      </c>
      <c r="H229" s="12">
        <f t="shared" si="31"/>
        <v>0.49994072142031476</v>
      </c>
      <c r="I229" s="12">
        <f t="shared" si="32"/>
        <v>0.50005927857968524</v>
      </c>
      <c r="J229">
        <f t="shared" si="33"/>
        <v>18440.083333333332</v>
      </c>
      <c r="K229">
        <f t="shared" si="36"/>
        <v>18128.125</v>
      </c>
      <c r="L229">
        <f t="shared" si="37"/>
        <v>36568.208333333336</v>
      </c>
      <c r="M229">
        <f t="shared" si="34"/>
        <v>1.8294385871358139</v>
      </c>
      <c r="N229">
        <f t="shared" si="38"/>
        <v>1.861361834166523</v>
      </c>
      <c r="O229">
        <f t="shared" si="39"/>
        <v>1.8452640442460835</v>
      </c>
    </row>
    <row r="230" spans="1:15" ht="13.2" x14ac:dyDescent="0.25">
      <c r="A230" s="14">
        <v>5</v>
      </c>
      <c r="B230" s="14" t="s">
        <v>99</v>
      </c>
      <c r="C230" s="14" t="s">
        <v>108</v>
      </c>
      <c r="D230" s="6">
        <v>38534</v>
      </c>
      <c r="E230" s="8">
        <v>29435</v>
      </c>
      <c r="F230" s="8">
        <v>27530</v>
      </c>
      <c r="G230" s="8">
        <f t="shared" si="35"/>
        <v>56965</v>
      </c>
      <c r="H230" s="12">
        <f t="shared" si="31"/>
        <v>0.51672079346967437</v>
      </c>
      <c r="I230" s="12">
        <f t="shared" si="32"/>
        <v>0.48327920653032563</v>
      </c>
      <c r="J230">
        <f t="shared" si="33"/>
        <v>18050.625</v>
      </c>
      <c r="K230">
        <f t="shared" si="36"/>
        <v>17791.166666666668</v>
      </c>
      <c r="L230">
        <f t="shared" si="37"/>
        <v>35841.791666666664</v>
      </c>
      <c r="M230">
        <f t="shared" si="34"/>
        <v>1.6306914580520064</v>
      </c>
      <c r="N230">
        <f t="shared" si="38"/>
        <v>1.5473971165466007</v>
      </c>
      <c r="O230">
        <f t="shared" si="39"/>
        <v>1.5893457707076122</v>
      </c>
    </row>
    <row r="231" spans="1:15" ht="13.2" x14ac:dyDescent="0.25">
      <c r="A231" s="14">
        <v>5</v>
      </c>
      <c r="B231" s="14" t="s">
        <v>100</v>
      </c>
      <c r="C231" s="14" t="s">
        <v>107</v>
      </c>
      <c r="D231" s="6">
        <v>38504</v>
      </c>
      <c r="E231" s="8">
        <v>15156</v>
      </c>
      <c r="F231" s="8">
        <v>13806</v>
      </c>
      <c r="G231" s="8">
        <f t="shared" si="35"/>
        <v>28962</v>
      </c>
      <c r="H231" s="12">
        <f t="shared" si="31"/>
        <v>0.52330640149160967</v>
      </c>
      <c r="I231" s="12">
        <f t="shared" si="32"/>
        <v>0.47669359850839033</v>
      </c>
      <c r="J231">
        <f t="shared" si="33"/>
        <v>17610.416666666668</v>
      </c>
      <c r="K231">
        <f t="shared" si="36"/>
        <v>17382.583333333332</v>
      </c>
      <c r="L231">
        <f t="shared" si="37"/>
        <v>34993</v>
      </c>
      <c r="M231">
        <f t="shared" si="34"/>
        <v>0.86062699633266293</v>
      </c>
      <c r="N231">
        <f t="shared" si="38"/>
        <v>0.79424327991140564</v>
      </c>
      <c r="O231">
        <f t="shared" si="39"/>
        <v>0.82765124453462124</v>
      </c>
    </row>
    <row r="232" spans="1:15" ht="13.2" x14ac:dyDescent="0.25">
      <c r="A232" s="14">
        <v>5</v>
      </c>
      <c r="B232" s="14" t="s">
        <v>101</v>
      </c>
      <c r="C232" s="14" t="s">
        <v>107</v>
      </c>
      <c r="D232" s="6">
        <v>38473</v>
      </c>
      <c r="E232" s="8">
        <v>12650</v>
      </c>
      <c r="F232" s="8">
        <v>13448</v>
      </c>
      <c r="G232" s="8">
        <f t="shared" si="35"/>
        <v>26098</v>
      </c>
      <c r="H232" s="12">
        <f t="shared" si="31"/>
        <v>0.48471147214345928</v>
      </c>
      <c r="I232" s="12">
        <f t="shared" si="32"/>
        <v>0.51528852785654078</v>
      </c>
      <c r="J232">
        <f t="shared" si="33"/>
        <v>16911.833333333332</v>
      </c>
      <c r="K232">
        <f t="shared" si="36"/>
        <v>16714.875</v>
      </c>
      <c r="L232">
        <f t="shared" si="37"/>
        <v>33626.708333333336</v>
      </c>
      <c r="M232">
        <f t="shared" si="34"/>
        <v>0.74799696464999854</v>
      </c>
      <c r="N232">
        <f t="shared" si="38"/>
        <v>0.80455283093651608</v>
      </c>
      <c r="O232">
        <f t="shared" si="39"/>
        <v>0.77610926830235383</v>
      </c>
    </row>
    <row r="233" spans="1:15" ht="13.2" x14ac:dyDescent="0.25">
      <c r="A233" s="14">
        <v>5</v>
      </c>
      <c r="B233" s="14" t="s">
        <v>102</v>
      </c>
      <c r="C233" s="14" t="s">
        <v>107</v>
      </c>
      <c r="D233" s="6">
        <v>38443</v>
      </c>
      <c r="E233" s="8">
        <v>13888</v>
      </c>
      <c r="F233" s="8">
        <v>13981</v>
      </c>
      <c r="G233" s="8">
        <f t="shared" si="35"/>
        <v>27869</v>
      </c>
      <c r="H233" s="12">
        <f t="shared" si="31"/>
        <v>0.49833147942157952</v>
      </c>
      <c r="I233" s="12">
        <f t="shared" si="32"/>
        <v>0.50166852057842048</v>
      </c>
      <c r="J233">
        <f t="shared" si="33"/>
        <v>16047.291666666666</v>
      </c>
      <c r="K233">
        <f t="shared" si="36"/>
        <v>15933.541666666666</v>
      </c>
      <c r="L233">
        <f t="shared" si="37"/>
        <v>31980.833333333332</v>
      </c>
      <c r="M233">
        <f t="shared" si="34"/>
        <v>0.86544198787438176</v>
      </c>
      <c r="N233">
        <f t="shared" si="38"/>
        <v>0.87745714621932247</v>
      </c>
      <c r="O233">
        <f t="shared" si="39"/>
        <v>0.87142819918180159</v>
      </c>
    </row>
    <row r="234" spans="1:15" ht="13.2" x14ac:dyDescent="0.25">
      <c r="A234" s="14">
        <v>5</v>
      </c>
      <c r="B234" s="14" t="s">
        <v>103</v>
      </c>
      <c r="C234" s="14" t="s">
        <v>106</v>
      </c>
      <c r="D234" s="6">
        <v>38412</v>
      </c>
      <c r="E234" s="8">
        <v>19326</v>
      </c>
      <c r="F234" s="8">
        <v>18561</v>
      </c>
      <c r="G234" s="8">
        <f t="shared" si="35"/>
        <v>37887</v>
      </c>
      <c r="H234" s="12">
        <f t="shared" si="31"/>
        <v>0.51009581122812575</v>
      </c>
      <c r="I234" s="12">
        <f t="shared" si="32"/>
        <v>0.48990418877187425</v>
      </c>
      <c r="J234">
        <f t="shared" si="33"/>
        <v>15109.791666666666</v>
      </c>
      <c r="K234">
        <f t="shared" si="36"/>
        <v>15023.458333333334</v>
      </c>
      <c r="L234">
        <f t="shared" si="37"/>
        <v>30133.25</v>
      </c>
      <c r="M234">
        <f t="shared" si="34"/>
        <v>1.2790381513091678</v>
      </c>
      <c r="N234">
        <f t="shared" si="38"/>
        <v>1.2354678655325144</v>
      </c>
      <c r="O234">
        <f t="shared" si="39"/>
        <v>1.2573154239917699</v>
      </c>
    </row>
    <row r="235" spans="1:15" ht="13.2" x14ac:dyDescent="0.25">
      <c r="A235" s="14">
        <v>5</v>
      </c>
      <c r="B235" s="14" t="s">
        <v>104</v>
      </c>
      <c r="C235" s="14" t="s">
        <v>106</v>
      </c>
      <c r="D235" s="6">
        <v>38384</v>
      </c>
      <c r="E235" s="8">
        <v>8665</v>
      </c>
      <c r="F235" s="8">
        <v>8182</v>
      </c>
      <c r="G235" s="8">
        <f t="shared" si="35"/>
        <v>16847</v>
      </c>
      <c r="H235" s="12">
        <f t="shared" si="31"/>
        <v>0.51433489642072772</v>
      </c>
      <c r="I235" s="12">
        <f t="shared" si="32"/>
        <v>0.48566510357927228</v>
      </c>
      <c r="J235">
        <f t="shared" si="33"/>
        <v>13732.625</v>
      </c>
      <c r="K235">
        <f t="shared" si="36"/>
        <v>13656.375</v>
      </c>
      <c r="L235">
        <f t="shared" si="37"/>
        <v>27389</v>
      </c>
      <c r="M235">
        <f t="shared" si="34"/>
        <v>0.63097914637587493</v>
      </c>
      <c r="N235">
        <f t="shared" si="38"/>
        <v>0.59913410403566103</v>
      </c>
      <c r="O235">
        <f t="shared" si="39"/>
        <v>0.6151009529373106</v>
      </c>
    </row>
    <row r="236" spans="1:15" ht="13.2" x14ac:dyDescent="0.25">
      <c r="A236" s="14">
        <v>5</v>
      </c>
      <c r="B236" s="14" t="s">
        <v>105</v>
      </c>
      <c r="C236" s="14" t="s">
        <v>106</v>
      </c>
      <c r="D236" s="6">
        <v>38353</v>
      </c>
      <c r="E236" s="8">
        <v>6817</v>
      </c>
      <c r="F236" s="8">
        <v>6251</v>
      </c>
      <c r="G236" s="8">
        <f t="shared" si="35"/>
        <v>13068</v>
      </c>
      <c r="H236" s="12">
        <f t="shared" si="31"/>
        <v>0.52165595347413529</v>
      </c>
      <c r="I236" s="12">
        <f t="shared" si="32"/>
        <v>0.47834404652586471</v>
      </c>
      <c r="J236">
        <f t="shared" si="33"/>
        <v>12153.875</v>
      </c>
      <c r="K236">
        <f t="shared" si="36"/>
        <v>12110.791666666666</v>
      </c>
      <c r="L236">
        <f t="shared" si="37"/>
        <v>24264.666666666668</v>
      </c>
      <c r="M236">
        <f t="shared" si="34"/>
        <v>0.56089107383447667</v>
      </c>
      <c r="N236">
        <f t="shared" si="38"/>
        <v>0.51615122875947417</v>
      </c>
      <c r="O236">
        <f t="shared" si="39"/>
        <v>0.53856087040140666</v>
      </c>
    </row>
    <row r="237" spans="1:15" ht="13.2" x14ac:dyDescent="0.25">
      <c r="A237" s="14">
        <v>4</v>
      </c>
      <c r="B237" s="14" t="s">
        <v>94</v>
      </c>
      <c r="C237" s="14" t="s">
        <v>109</v>
      </c>
      <c r="D237" s="6">
        <v>38322</v>
      </c>
      <c r="E237" s="8">
        <v>10752</v>
      </c>
      <c r="F237" s="8">
        <v>11819</v>
      </c>
      <c r="G237" s="8">
        <f t="shared" si="35"/>
        <v>22571</v>
      </c>
      <c r="H237" s="12">
        <f t="shared" si="31"/>
        <v>0.47636347525585931</v>
      </c>
      <c r="I237" s="12">
        <f t="shared" si="32"/>
        <v>0.52363652474414069</v>
      </c>
      <c r="J237">
        <f t="shared" si="33"/>
        <v>11079.791666666666</v>
      </c>
      <c r="K237">
        <f t="shared" si="36"/>
        <v>11106.208333333334</v>
      </c>
      <c r="L237">
        <f t="shared" si="37"/>
        <v>22186</v>
      </c>
      <c r="M237">
        <f t="shared" si="34"/>
        <v>0.97041535829118331</v>
      </c>
      <c r="N237">
        <f t="shared" si="38"/>
        <v>1.064179569234925</v>
      </c>
      <c r="O237">
        <f t="shared" si="39"/>
        <v>1.0173532858559451</v>
      </c>
    </row>
    <row r="238" spans="1:15" ht="13.2" x14ac:dyDescent="0.25">
      <c r="A238" s="14">
        <v>4</v>
      </c>
      <c r="B238" s="14" t="s">
        <v>95</v>
      </c>
      <c r="C238" s="14" t="s">
        <v>109</v>
      </c>
      <c r="D238" s="6">
        <v>38292</v>
      </c>
      <c r="E238" s="8">
        <v>5277</v>
      </c>
      <c r="F238" s="8">
        <v>5708</v>
      </c>
      <c r="G238" s="8">
        <f t="shared" si="35"/>
        <v>10985</v>
      </c>
      <c r="H238" s="12">
        <f t="shared" si="31"/>
        <v>0.48038233955393717</v>
      </c>
      <c r="I238" s="12">
        <f t="shared" si="32"/>
        <v>0.51961766044606283</v>
      </c>
      <c r="J238">
        <f t="shared" si="33"/>
        <v>10435.666666666666</v>
      </c>
      <c r="K238">
        <f t="shared" si="36"/>
        <v>10498.041666666666</v>
      </c>
      <c r="L238">
        <f t="shared" si="37"/>
        <v>20933.708333333332</v>
      </c>
      <c r="M238">
        <f t="shared" si="34"/>
        <v>0.50566965854281798</v>
      </c>
      <c r="N238">
        <f t="shared" si="38"/>
        <v>0.54372045579929595</v>
      </c>
      <c r="O238">
        <f t="shared" si="39"/>
        <v>0.5247517460873512</v>
      </c>
    </row>
    <row r="239" spans="1:15" ht="13.2" x14ac:dyDescent="0.25">
      <c r="A239" s="14">
        <v>4</v>
      </c>
      <c r="B239" s="14" t="s">
        <v>96</v>
      </c>
      <c r="C239" s="14" t="s">
        <v>109</v>
      </c>
      <c r="D239" s="6">
        <v>38261</v>
      </c>
      <c r="E239" s="8">
        <v>8745</v>
      </c>
      <c r="F239" s="8">
        <v>9059</v>
      </c>
      <c r="G239" s="8">
        <f t="shared" si="35"/>
        <v>17804</v>
      </c>
      <c r="H239" s="12">
        <f t="shared" si="31"/>
        <v>0.49118175690855986</v>
      </c>
      <c r="I239" s="12">
        <f t="shared" si="32"/>
        <v>0.50881824309144008</v>
      </c>
      <c r="J239">
        <f t="shared" si="33"/>
        <v>9994.125</v>
      </c>
      <c r="K239">
        <f t="shared" si="36"/>
        <v>10063.75</v>
      </c>
      <c r="L239">
        <f t="shared" si="37"/>
        <v>20057.875</v>
      </c>
      <c r="M239">
        <f t="shared" si="34"/>
        <v>0.87501407076657534</v>
      </c>
      <c r="N239">
        <f t="shared" si="38"/>
        <v>0.90016147062476715</v>
      </c>
      <c r="O239">
        <f t="shared" si="39"/>
        <v>0.88763141658824773</v>
      </c>
    </row>
    <row r="240" spans="1:15" ht="13.2" x14ac:dyDescent="0.25">
      <c r="A240" s="14">
        <v>4</v>
      </c>
      <c r="B240" s="14" t="s">
        <v>97</v>
      </c>
      <c r="C240" s="14" t="s">
        <v>108</v>
      </c>
      <c r="D240" s="6">
        <v>38231</v>
      </c>
      <c r="E240" s="8">
        <v>10355</v>
      </c>
      <c r="F240" s="8">
        <v>11568</v>
      </c>
      <c r="G240" s="8">
        <f t="shared" si="35"/>
        <v>21923</v>
      </c>
      <c r="H240" s="12">
        <f t="shared" si="31"/>
        <v>0.47233499064909001</v>
      </c>
      <c r="I240" s="12">
        <f t="shared" si="32"/>
        <v>0.52766500935090999</v>
      </c>
      <c r="J240">
        <f t="shared" si="33"/>
        <v>9432.375</v>
      </c>
      <c r="K240">
        <f t="shared" si="36"/>
        <v>9516.5416666666661</v>
      </c>
      <c r="L240">
        <f t="shared" si="37"/>
        <v>18948.916666666668</v>
      </c>
      <c r="M240">
        <f t="shared" si="34"/>
        <v>1.0978147073245073</v>
      </c>
      <c r="N240">
        <f t="shared" si="38"/>
        <v>1.2155676300476803</v>
      </c>
      <c r="O240">
        <f t="shared" si="39"/>
        <v>1.156952684190389</v>
      </c>
    </row>
    <row r="241" spans="1:15" ht="13.2" x14ac:dyDescent="0.25">
      <c r="A241" s="14">
        <v>4</v>
      </c>
      <c r="B241" s="14" t="s">
        <v>98</v>
      </c>
      <c r="C241" s="14" t="s">
        <v>108</v>
      </c>
      <c r="D241" s="6">
        <v>38200</v>
      </c>
      <c r="E241" s="8">
        <v>13716</v>
      </c>
      <c r="F241" s="8">
        <v>14184</v>
      </c>
      <c r="G241" s="8">
        <f t="shared" si="35"/>
        <v>27900</v>
      </c>
      <c r="H241" s="12">
        <f t="shared" si="31"/>
        <v>0.49161290322580647</v>
      </c>
      <c r="I241" s="12">
        <f t="shared" si="32"/>
        <v>0.50838709677419358</v>
      </c>
      <c r="J241">
        <f t="shared" si="33"/>
        <v>8882.4583333333339</v>
      </c>
      <c r="K241">
        <f t="shared" si="36"/>
        <v>8989.5</v>
      </c>
      <c r="L241">
        <f t="shared" si="37"/>
        <v>17871.958333333332</v>
      </c>
      <c r="M241">
        <f t="shared" si="34"/>
        <v>1.5441671083924775</v>
      </c>
      <c r="N241">
        <f t="shared" si="38"/>
        <v>1.5778408142833305</v>
      </c>
      <c r="O241">
        <f t="shared" si="39"/>
        <v>1.5611048033814612</v>
      </c>
    </row>
    <row r="242" spans="1:15" ht="13.2" x14ac:dyDescent="0.25">
      <c r="A242" s="14">
        <v>4</v>
      </c>
      <c r="B242" s="14" t="s">
        <v>99</v>
      </c>
      <c r="C242" s="14" t="s">
        <v>108</v>
      </c>
      <c r="D242" s="6">
        <v>38169</v>
      </c>
      <c r="E242" s="8">
        <v>11564</v>
      </c>
      <c r="F242" s="8">
        <v>9995</v>
      </c>
      <c r="G242" s="8">
        <f t="shared" si="35"/>
        <v>21559</v>
      </c>
      <c r="H242" s="12">
        <f t="shared" si="31"/>
        <v>0.53638851523725595</v>
      </c>
      <c r="I242" s="12">
        <f t="shared" si="32"/>
        <v>0.46361148476274411</v>
      </c>
      <c r="J242">
        <f t="shared" si="33"/>
        <v>8718.5</v>
      </c>
      <c r="K242">
        <f t="shared" si="36"/>
        <v>8851.5833333333339</v>
      </c>
      <c r="L242">
        <f t="shared" si="37"/>
        <v>17570.083333333332</v>
      </c>
      <c r="M242">
        <f t="shared" si="34"/>
        <v>1.3263749498193496</v>
      </c>
      <c r="N242">
        <f t="shared" si="38"/>
        <v>1.1291765126766398</v>
      </c>
      <c r="O242">
        <f t="shared" si="39"/>
        <v>1.2270288985538866</v>
      </c>
    </row>
    <row r="243" spans="1:15" ht="13.2" x14ac:dyDescent="0.25">
      <c r="A243" s="14">
        <v>4</v>
      </c>
      <c r="B243" s="14" t="s">
        <v>100</v>
      </c>
      <c r="C243" s="14" t="s">
        <v>107</v>
      </c>
      <c r="D243" s="6">
        <v>38139</v>
      </c>
      <c r="E243" s="8">
        <v>7249</v>
      </c>
      <c r="F243" s="8">
        <v>7231</v>
      </c>
      <c r="G243" s="8">
        <f t="shared" si="35"/>
        <v>14480</v>
      </c>
      <c r="H243" s="12">
        <f t="shared" si="31"/>
        <v>0.50062154696132599</v>
      </c>
      <c r="I243" s="12">
        <f t="shared" si="32"/>
        <v>0.49937845303867401</v>
      </c>
    </row>
    <row r="244" spans="1:15" ht="13.2" x14ac:dyDescent="0.25">
      <c r="A244" s="14">
        <v>4</v>
      </c>
      <c r="B244" s="14" t="s">
        <v>101</v>
      </c>
      <c r="C244" s="14" t="s">
        <v>107</v>
      </c>
      <c r="D244" s="6">
        <v>38108</v>
      </c>
      <c r="E244" s="8">
        <v>5098</v>
      </c>
      <c r="F244" s="8">
        <v>5427</v>
      </c>
      <c r="G244" s="8">
        <f t="shared" si="35"/>
        <v>10525</v>
      </c>
      <c r="H244" s="12">
        <f t="shared" si="31"/>
        <v>0.4843705463182898</v>
      </c>
      <c r="I244" s="12">
        <f t="shared" si="32"/>
        <v>0.5156294536817102</v>
      </c>
    </row>
    <row r="245" spans="1:15" ht="13.2" x14ac:dyDescent="0.25">
      <c r="A245" s="14">
        <v>4</v>
      </c>
      <c r="B245" s="14" t="s">
        <v>102</v>
      </c>
      <c r="C245" s="14" t="s">
        <v>107</v>
      </c>
      <c r="D245" s="6">
        <v>38078</v>
      </c>
      <c r="E245" s="8">
        <v>10843</v>
      </c>
      <c r="F245" s="8">
        <v>11579</v>
      </c>
      <c r="G245" s="8">
        <f t="shared" si="35"/>
        <v>22422</v>
      </c>
      <c r="H245" s="12">
        <f t="shared" si="31"/>
        <v>0.48358754794398356</v>
      </c>
      <c r="I245" s="12">
        <f t="shared" si="32"/>
        <v>0.51641245205601638</v>
      </c>
    </row>
    <row r="246" spans="1:15" ht="13.2" x14ac:dyDescent="0.25">
      <c r="A246" s="14">
        <v>4</v>
      </c>
      <c r="B246" s="14" t="s">
        <v>103</v>
      </c>
      <c r="C246" s="14" t="s">
        <v>106</v>
      </c>
      <c r="D246" s="6">
        <v>38047</v>
      </c>
      <c r="E246" s="8">
        <v>8889</v>
      </c>
      <c r="F246" s="8">
        <v>7830</v>
      </c>
      <c r="G246" s="8">
        <f t="shared" si="35"/>
        <v>16719</v>
      </c>
      <c r="H246" s="12">
        <f t="shared" si="31"/>
        <v>0.53167055445899869</v>
      </c>
      <c r="I246" s="12">
        <f t="shared" si="32"/>
        <v>0.46832944554100125</v>
      </c>
    </row>
    <row r="247" spans="1:15" ht="13.2" x14ac:dyDescent="0.25">
      <c r="A247" s="14">
        <v>4</v>
      </c>
      <c r="B247" s="14" t="s">
        <v>104</v>
      </c>
      <c r="C247" s="14" t="s">
        <v>106</v>
      </c>
      <c r="D247" s="6">
        <v>38018</v>
      </c>
      <c r="E247" s="8">
        <v>5904</v>
      </c>
      <c r="F247" s="8">
        <v>6264</v>
      </c>
      <c r="G247" s="8">
        <f t="shared" si="35"/>
        <v>12168</v>
      </c>
      <c r="H247" s="12">
        <f t="shared" si="31"/>
        <v>0.48520710059171596</v>
      </c>
      <c r="I247" s="12">
        <f t="shared" si="32"/>
        <v>0.51479289940828399</v>
      </c>
    </row>
    <row r="248" spans="1:15" ht="13.2" x14ac:dyDescent="0.25">
      <c r="A248" s="14">
        <v>4</v>
      </c>
      <c r="B248" s="14" t="s">
        <v>105</v>
      </c>
      <c r="C248" s="14" t="s">
        <v>106</v>
      </c>
      <c r="D248" s="6">
        <v>37987</v>
      </c>
      <c r="E248" s="8">
        <v>5643</v>
      </c>
      <c r="F248" s="8">
        <v>4859</v>
      </c>
      <c r="G248" s="8">
        <f t="shared" si="35"/>
        <v>10502</v>
      </c>
      <c r="H248" s="12">
        <f t="shared" si="31"/>
        <v>0.53732622357646165</v>
      </c>
      <c r="I248" s="12">
        <f t="shared" si="32"/>
        <v>0.46267377642353835</v>
      </c>
    </row>
    <row r="249" spans="1:15" ht="13.2" x14ac:dyDescent="0.25"/>
    <row r="250" spans="1:15" ht="13.2" x14ac:dyDescent="0.25"/>
    <row r="251" spans="1:15" ht="13.2" x14ac:dyDescent="0.25"/>
    <row r="252" spans="1:15" ht="13.2" x14ac:dyDescent="0.25"/>
    <row r="253" spans="1:15" ht="13.2" x14ac:dyDescent="0.25"/>
    <row r="254" spans="1:15" ht="13.2" x14ac:dyDescent="0.25"/>
    <row r="255" spans="1:15" ht="13.2" x14ac:dyDescent="0.25"/>
    <row r="256" spans="1:15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</sheetData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E11A-79D7-4A7F-8CA1-334AA5E84687}">
  <dimension ref="A3:D19"/>
  <sheetViews>
    <sheetView workbookViewId="0">
      <selection activeCell="D39" sqref="D39"/>
    </sheetView>
  </sheetViews>
  <sheetFormatPr baseColWidth="10" defaultRowHeight="13.2" x14ac:dyDescent="0.25"/>
  <cols>
    <col min="1" max="1" width="17.109375" bestFit="1" customWidth="1"/>
    <col min="2" max="2" width="34" bestFit="1" customWidth="1"/>
    <col min="3" max="3" width="35.109375" bestFit="1" customWidth="1"/>
    <col min="4" max="4" width="31.88671875" bestFit="1" customWidth="1"/>
  </cols>
  <sheetData>
    <row r="3" spans="1:4" x14ac:dyDescent="0.25">
      <c r="A3" s="16" t="s">
        <v>118</v>
      </c>
      <c r="B3" t="s">
        <v>120</v>
      </c>
      <c r="C3" t="s">
        <v>121</v>
      </c>
      <c r="D3" t="s">
        <v>122</v>
      </c>
    </row>
    <row r="4" spans="1:4" x14ac:dyDescent="0.25">
      <c r="A4" s="17" t="s">
        <v>85</v>
      </c>
      <c r="B4" s="18">
        <v>0.74358787752104361</v>
      </c>
      <c r="C4" s="18">
        <v>0.68403392670556185</v>
      </c>
      <c r="D4" s="18">
        <v>0.71393613295796932</v>
      </c>
    </row>
    <row r="5" spans="1:4" x14ac:dyDescent="0.25">
      <c r="A5" s="17" t="s">
        <v>84</v>
      </c>
      <c r="B5" s="18">
        <v>0.75719911135533025</v>
      </c>
      <c r="C5" s="18">
        <v>0.75695929324405653</v>
      </c>
      <c r="D5" s="18">
        <v>0.7570432211249073</v>
      </c>
    </row>
    <row r="6" spans="1:4" x14ac:dyDescent="0.25">
      <c r="A6" s="17" t="s">
        <v>83</v>
      </c>
      <c r="B6" s="18">
        <v>0.99245766115605472</v>
      </c>
      <c r="C6" s="18">
        <v>0.96984143051847893</v>
      </c>
      <c r="D6" s="18">
        <v>0.98119280585156765</v>
      </c>
    </row>
    <row r="7" spans="1:4" x14ac:dyDescent="0.25">
      <c r="A7" s="17" t="s">
        <v>82</v>
      </c>
      <c r="B7" s="18">
        <v>1.0422500025706867</v>
      </c>
      <c r="C7" s="18">
        <v>1.0565451240102308</v>
      </c>
      <c r="D7" s="18">
        <v>1.0493758388704655</v>
      </c>
    </row>
    <row r="8" spans="1:4" x14ac:dyDescent="0.25">
      <c r="A8" s="17" t="s">
        <v>93</v>
      </c>
      <c r="B8" s="18">
        <v>0.89211971250199162</v>
      </c>
      <c r="C8" s="18">
        <v>0.92270124079158933</v>
      </c>
      <c r="D8" s="18">
        <v>0.90735569806621519</v>
      </c>
    </row>
    <row r="9" spans="1:4" x14ac:dyDescent="0.25">
      <c r="A9" s="17" t="s">
        <v>92</v>
      </c>
      <c r="B9" s="18">
        <v>1.0518865150773737</v>
      </c>
      <c r="C9" s="18">
        <v>0.98312287065133785</v>
      </c>
      <c r="D9" s="18">
        <v>1.0176584593529394</v>
      </c>
    </row>
    <row r="10" spans="1:4" x14ac:dyDescent="0.25">
      <c r="A10" s="17" t="s">
        <v>91</v>
      </c>
      <c r="B10" s="18">
        <v>1.367850707536042</v>
      </c>
      <c r="C10" s="18">
        <v>1.3282056031120022</v>
      </c>
      <c r="D10" s="18">
        <v>1.3480227013876451</v>
      </c>
    </row>
    <row r="11" spans="1:4" x14ac:dyDescent="0.25">
      <c r="A11" s="17" t="s">
        <v>90</v>
      </c>
      <c r="B11" s="18">
        <v>1.4155537158150429</v>
      </c>
      <c r="C11" s="18">
        <v>1.4323407621832516</v>
      </c>
      <c r="D11" s="18">
        <v>1.4239157082594656</v>
      </c>
    </row>
    <row r="12" spans="1:4" x14ac:dyDescent="0.25">
      <c r="A12" s="17" t="s">
        <v>89</v>
      </c>
      <c r="B12" s="18">
        <v>1.0916914021456832</v>
      </c>
      <c r="C12" s="18">
        <v>1.1601595185398657</v>
      </c>
      <c r="D12" s="18">
        <v>1.1258201925249749</v>
      </c>
    </row>
    <row r="13" spans="1:4" x14ac:dyDescent="0.25">
      <c r="A13" s="17" t="s">
        <v>88</v>
      </c>
      <c r="B13" s="18">
        <v>0.97593269012611272</v>
      </c>
      <c r="C13" s="18">
        <v>0.9850353503105177</v>
      </c>
      <c r="D13" s="18">
        <v>0.98047811817118424</v>
      </c>
    </row>
    <row r="14" spans="1:4" x14ac:dyDescent="0.25">
      <c r="A14" s="17" t="s">
        <v>87</v>
      </c>
      <c r="B14" s="18">
        <v>0.79286880434604223</v>
      </c>
      <c r="C14" s="18">
        <v>0.77084567898694734</v>
      </c>
      <c r="D14" s="18">
        <v>0.7819128476398638</v>
      </c>
    </row>
    <row r="15" spans="1:4" x14ac:dyDescent="0.25">
      <c r="A15" s="17" t="s">
        <v>86</v>
      </c>
      <c r="B15" s="18">
        <v>0.84778507332414021</v>
      </c>
      <c r="C15" s="18">
        <v>0.91928250222887986</v>
      </c>
      <c r="D15" s="18">
        <v>0.88341569176116841</v>
      </c>
    </row>
    <row r="16" spans="1:4" x14ac:dyDescent="0.25">
      <c r="A16" s="17" t="s">
        <v>119</v>
      </c>
      <c r="B16" s="18">
        <v>1.0013082358261127</v>
      </c>
      <c r="C16" s="18">
        <v>1.001371267062575</v>
      </c>
      <c r="D16" s="18">
        <v>1.001339041481647</v>
      </c>
    </row>
    <row r="18" spans="1:4" x14ac:dyDescent="0.25">
      <c r="A18" s="17" t="s">
        <v>123</v>
      </c>
      <c r="B18" s="18">
        <f>SUM(B4:B15)</f>
        <v>11.971183273475544</v>
      </c>
      <c r="C18" s="18">
        <f t="shared" ref="C18:D18" si="0">SUM(C4:C15)</f>
        <v>11.96907330128272</v>
      </c>
      <c r="D18" s="18">
        <f t="shared" si="0"/>
        <v>11.970127415968367</v>
      </c>
    </row>
    <row r="19" spans="1:4" x14ac:dyDescent="0.25">
      <c r="B19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AD6B-11A9-43F0-8140-9B0F44E7E786}">
  <dimension ref="A1:D233"/>
  <sheetViews>
    <sheetView workbookViewId="0">
      <selection activeCell="J38" sqref="J38"/>
    </sheetView>
  </sheetViews>
  <sheetFormatPr baseColWidth="10" defaultRowHeight="13.2" x14ac:dyDescent="0.25"/>
  <cols>
    <col min="1" max="1" width="11.88671875" bestFit="1" customWidth="1"/>
    <col min="2" max="3" width="9.109375"/>
    <col min="4" max="4" width="14.88671875" bestFit="1" customWidth="1"/>
  </cols>
  <sheetData>
    <row r="1" spans="1:4" x14ac:dyDescent="0.25">
      <c r="A1" s="14" t="s">
        <v>80</v>
      </c>
      <c r="B1" s="14" t="s">
        <v>79</v>
      </c>
      <c r="C1" s="14" t="s">
        <v>81</v>
      </c>
      <c r="D1" s="14" t="s">
        <v>112</v>
      </c>
    </row>
    <row r="2" spans="1:4" x14ac:dyDescent="0.25">
      <c r="A2" s="14">
        <v>25</v>
      </c>
      <c r="B2" s="14" t="s">
        <v>88</v>
      </c>
      <c r="C2" s="14" t="s">
        <v>109</v>
      </c>
      <c r="D2" s="14">
        <v>59066.416666666664</v>
      </c>
    </row>
    <row r="3" spans="1:4" x14ac:dyDescent="0.25">
      <c r="A3" s="14">
        <v>25</v>
      </c>
      <c r="B3" s="14" t="s">
        <v>89</v>
      </c>
      <c r="C3" s="14" t="s">
        <v>108</v>
      </c>
      <c r="D3" s="14">
        <v>59187.541666666664</v>
      </c>
    </row>
    <row r="4" spans="1:4" x14ac:dyDescent="0.25">
      <c r="A4" s="14">
        <v>25</v>
      </c>
      <c r="B4" s="14" t="s">
        <v>90</v>
      </c>
      <c r="C4" s="14" t="s">
        <v>108</v>
      </c>
      <c r="D4" s="14">
        <v>59133.416666666664</v>
      </c>
    </row>
    <row r="5" spans="1:4" x14ac:dyDescent="0.25">
      <c r="A5" s="14">
        <v>25</v>
      </c>
      <c r="B5" s="14" t="s">
        <v>91</v>
      </c>
      <c r="C5" s="14" t="s">
        <v>108</v>
      </c>
      <c r="D5" s="14">
        <v>59053.375</v>
      </c>
    </row>
    <row r="6" spans="1:4" x14ac:dyDescent="0.25">
      <c r="A6" s="14">
        <v>25</v>
      </c>
      <c r="B6" s="14" t="s">
        <v>92</v>
      </c>
      <c r="C6" s="14" t="s">
        <v>107</v>
      </c>
      <c r="D6" s="14">
        <v>59100.75</v>
      </c>
    </row>
    <row r="7" spans="1:4" x14ac:dyDescent="0.25">
      <c r="A7" s="14">
        <v>25</v>
      </c>
      <c r="B7" s="14" t="s">
        <v>93</v>
      </c>
      <c r="C7" s="14" t="s">
        <v>107</v>
      </c>
      <c r="D7" s="14">
        <v>59262.25</v>
      </c>
    </row>
    <row r="8" spans="1:4" x14ac:dyDescent="0.25">
      <c r="A8" s="14">
        <v>25</v>
      </c>
      <c r="B8" s="14" t="s">
        <v>82</v>
      </c>
      <c r="C8" s="14" t="s">
        <v>107</v>
      </c>
      <c r="D8" s="14">
        <v>59101.291666666664</v>
      </c>
    </row>
    <row r="9" spans="1:4" x14ac:dyDescent="0.25">
      <c r="A9" s="14">
        <v>25</v>
      </c>
      <c r="B9" s="14" t="s">
        <v>83</v>
      </c>
      <c r="C9" s="14" t="s">
        <v>106</v>
      </c>
      <c r="D9" s="14">
        <v>58977.875</v>
      </c>
    </row>
    <row r="10" spans="1:4" x14ac:dyDescent="0.25">
      <c r="A10" s="14">
        <v>25</v>
      </c>
      <c r="B10" s="14" t="s">
        <v>84</v>
      </c>
      <c r="C10" s="14" t="s">
        <v>106</v>
      </c>
      <c r="D10" s="14">
        <v>58917.333333333336</v>
      </c>
    </row>
    <row r="11" spans="1:4" x14ac:dyDescent="0.25">
      <c r="A11" s="14">
        <v>25</v>
      </c>
      <c r="B11" s="14" t="s">
        <v>85</v>
      </c>
      <c r="C11" s="14" t="s">
        <v>106</v>
      </c>
      <c r="D11" s="14">
        <v>58610.25</v>
      </c>
    </row>
    <row r="12" spans="1:4" x14ac:dyDescent="0.25">
      <c r="A12" s="14">
        <v>24</v>
      </c>
      <c r="B12" s="14" t="s">
        <v>86</v>
      </c>
      <c r="C12" s="14" t="s">
        <v>109</v>
      </c>
      <c r="D12" s="14">
        <v>58574.416666666664</v>
      </c>
    </row>
    <row r="13" spans="1:4" x14ac:dyDescent="0.25">
      <c r="A13" s="14">
        <v>24</v>
      </c>
      <c r="B13" s="14" t="s">
        <v>87</v>
      </c>
      <c r="C13" s="14" t="s">
        <v>109</v>
      </c>
      <c r="D13" s="14">
        <v>58550.625</v>
      </c>
    </row>
    <row r="14" spans="1:4" x14ac:dyDescent="0.25">
      <c r="A14" s="14">
        <v>24</v>
      </c>
      <c r="B14" s="14" t="s">
        <v>88</v>
      </c>
      <c r="C14" s="14" t="s">
        <v>109</v>
      </c>
      <c r="D14" s="14">
        <v>58034.083333333336</v>
      </c>
    </row>
    <row r="15" spans="1:4" x14ac:dyDescent="0.25">
      <c r="A15" s="14">
        <v>24</v>
      </c>
      <c r="B15" s="14" t="s">
        <v>89</v>
      </c>
      <c r="C15" s="14" t="s">
        <v>108</v>
      </c>
      <c r="D15" s="14">
        <v>57796.416666666664</v>
      </c>
    </row>
    <row r="16" spans="1:4" x14ac:dyDescent="0.25">
      <c r="A16" s="14">
        <v>24</v>
      </c>
      <c r="B16" s="14" t="s">
        <v>90</v>
      </c>
      <c r="C16" s="14" t="s">
        <v>108</v>
      </c>
      <c r="D16" s="14">
        <v>57816.166666666664</v>
      </c>
    </row>
    <row r="17" spans="1:4" x14ac:dyDescent="0.25">
      <c r="A17" s="14">
        <v>24</v>
      </c>
      <c r="B17" s="14" t="s">
        <v>91</v>
      </c>
      <c r="C17" s="14" t="s">
        <v>108</v>
      </c>
      <c r="D17" s="14">
        <v>57794.291666666664</v>
      </c>
    </row>
    <row r="18" spans="1:4" x14ac:dyDescent="0.25">
      <c r="A18" s="14">
        <v>24</v>
      </c>
      <c r="B18" s="14" t="s">
        <v>92</v>
      </c>
      <c r="C18" s="14" t="s">
        <v>107</v>
      </c>
      <c r="D18" s="14">
        <v>57663.083333333336</v>
      </c>
    </row>
    <row r="19" spans="1:4" x14ac:dyDescent="0.25">
      <c r="A19" s="14">
        <v>24</v>
      </c>
      <c r="B19" s="14" t="s">
        <v>93</v>
      </c>
      <c r="C19" s="14" t="s">
        <v>107</v>
      </c>
      <c r="D19" s="14">
        <v>57147.708333333336</v>
      </c>
    </row>
    <row r="20" spans="1:4" x14ac:dyDescent="0.25">
      <c r="A20" s="14">
        <v>24</v>
      </c>
      <c r="B20" s="14" t="s">
        <v>82</v>
      </c>
      <c r="C20" s="14" t="s">
        <v>107</v>
      </c>
      <c r="D20" s="14">
        <v>56729</v>
      </c>
    </row>
    <row r="21" spans="1:4" x14ac:dyDescent="0.25">
      <c r="A21" s="14">
        <v>24</v>
      </c>
      <c r="B21" s="14" t="s">
        <v>83</v>
      </c>
      <c r="C21" s="14" t="s">
        <v>106</v>
      </c>
      <c r="D21" s="14">
        <v>56526.416666666664</v>
      </c>
    </row>
    <row r="22" spans="1:4" x14ac:dyDescent="0.25">
      <c r="A22" s="14">
        <v>24</v>
      </c>
      <c r="B22" s="14" t="s">
        <v>84</v>
      </c>
      <c r="C22" s="14" t="s">
        <v>106</v>
      </c>
      <c r="D22" s="14">
        <v>56494.666666666664</v>
      </c>
    </row>
    <row r="23" spans="1:4" x14ac:dyDescent="0.25">
      <c r="A23" s="14">
        <v>24</v>
      </c>
      <c r="B23" s="14" t="s">
        <v>85</v>
      </c>
      <c r="C23" s="14" t="s">
        <v>106</v>
      </c>
      <c r="D23" s="14">
        <v>56775.291666666664</v>
      </c>
    </row>
    <row r="24" spans="1:4" x14ac:dyDescent="0.25">
      <c r="A24" s="14">
        <v>23</v>
      </c>
      <c r="B24" s="14" t="s">
        <v>86</v>
      </c>
      <c r="C24" s="14" t="s">
        <v>109</v>
      </c>
      <c r="D24" s="14">
        <v>56705.166666666664</v>
      </c>
    </row>
    <row r="25" spans="1:4" x14ac:dyDescent="0.25">
      <c r="A25" s="14">
        <v>23</v>
      </c>
      <c r="B25" s="14" t="s">
        <v>87</v>
      </c>
      <c r="C25" s="14" t="s">
        <v>109</v>
      </c>
      <c r="D25" s="14">
        <v>56175.583333333336</v>
      </c>
    </row>
    <row r="26" spans="1:4" x14ac:dyDescent="0.25">
      <c r="A26" s="14">
        <v>23</v>
      </c>
      <c r="B26" s="14" t="s">
        <v>88</v>
      </c>
      <c r="C26" s="14" t="s">
        <v>109</v>
      </c>
      <c r="D26" s="14">
        <v>56128.375</v>
      </c>
    </row>
    <row r="27" spans="1:4" x14ac:dyDescent="0.25">
      <c r="A27" s="14">
        <v>23</v>
      </c>
      <c r="B27" s="14" t="s">
        <v>89</v>
      </c>
      <c r="C27" s="14" t="s">
        <v>108</v>
      </c>
      <c r="D27" s="14">
        <v>56315.041666666664</v>
      </c>
    </row>
    <row r="28" spans="1:4" x14ac:dyDescent="0.25">
      <c r="A28" s="14">
        <v>23</v>
      </c>
      <c r="B28" s="14" t="s">
        <v>90</v>
      </c>
      <c r="C28" s="14" t="s">
        <v>108</v>
      </c>
      <c r="D28" s="14">
        <v>56471.291666666664</v>
      </c>
    </row>
    <row r="29" spans="1:4" x14ac:dyDescent="0.25">
      <c r="A29" s="14">
        <v>23</v>
      </c>
      <c r="B29" s="14" t="s">
        <v>91</v>
      </c>
      <c r="C29" s="14" t="s">
        <v>108</v>
      </c>
      <c r="D29" s="14">
        <v>56895.416666666664</v>
      </c>
    </row>
    <row r="30" spans="1:4" x14ac:dyDescent="0.25">
      <c r="A30" s="14">
        <v>23</v>
      </c>
      <c r="B30" s="14" t="s">
        <v>92</v>
      </c>
      <c r="C30" s="14" t="s">
        <v>107</v>
      </c>
      <c r="D30" s="14">
        <v>57319.041666666664</v>
      </c>
    </row>
    <row r="31" spans="1:4" x14ac:dyDescent="0.25">
      <c r="A31" s="14">
        <v>23</v>
      </c>
      <c r="B31" s="14" t="s">
        <v>93</v>
      </c>
      <c r="C31" s="14" t="s">
        <v>107</v>
      </c>
      <c r="D31" s="14">
        <v>57680</v>
      </c>
    </row>
    <row r="32" spans="1:4" x14ac:dyDescent="0.25">
      <c r="A32" s="14">
        <v>23</v>
      </c>
      <c r="B32" s="14" t="s">
        <v>82</v>
      </c>
      <c r="C32" s="14" t="s">
        <v>107</v>
      </c>
      <c r="D32" s="14">
        <v>57826.5</v>
      </c>
    </row>
    <row r="33" spans="1:4" x14ac:dyDescent="0.25">
      <c r="A33" s="14">
        <v>23</v>
      </c>
      <c r="B33" s="14" t="s">
        <v>83</v>
      </c>
      <c r="C33" s="14" t="s">
        <v>106</v>
      </c>
      <c r="D33" s="14">
        <v>57760.125</v>
      </c>
    </row>
    <row r="34" spans="1:4" x14ac:dyDescent="0.25">
      <c r="A34" s="14">
        <v>23</v>
      </c>
      <c r="B34" s="14" t="s">
        <v>84</v>
      </c>
      <c r="C34" s="14" t="s">
        <v>106</v>
      </c>
      <c r="D34" s="14">
        <v>57694.833333333336</v>
      </c>
    </row>
    <row r="35" spans="1:4" x14ac:dyDescent="0.25">
      <c r="A35" s="14">
        <v>23</v>
      </c>
      <c r="B35" s="14" t="s">
        <v>85</v>
      </c>
      <c r="C35" s="14" t="s">
        <v>106</v>
      </c>
      <c r="D35" s="14">
        <v>57581.166666666664</v>
      </c>
    </row>
    <row r="36" spans="1:4" x14ac:dyDescent="0.25">
      <c r="A36" s="14">
        <v>22</v>
      </c>
      <c r="B36" s="14" t="s">
        <v>86</v>
      </c>
      <c r="C36" s="14" t="s">
        <v>109</v>
      </c>
      <c r="D36" s="14">
        <v>57661.5</v>
      </c>
    </row>
    <row r="37" spans="1:4" x14ac:dyDescent="0.25">
      <c r="A37" s="14">
        <v>22</v>
      </c>
      <c r="B37" s="14" t="s">
        <v>87</v>
      </c>
      <c r="C37" s="14" t="s">
        <v>109</v>
      </c>
      <c r="D37" s="14">
        <v>57681</v>
      </c>
    </row>
    <row r="38" spans="1:4" x14ac:dyDescent="0.25">
      <c r="A38" s="14">
        <v>22</v>
      </c>
      <c r="B38" s="14" t="s">
        <v>88</v>
      </c>
      <c r="C38" s="14" t="s">
        <v>109</v>
      </c>
      <c r="D38" s="14">
        <v>57058.583333333336</v>
      </c>
    </row>
    <row r="39" spans="1:4" x14ac:dyDescent="0.25">
      <c r="A39" s="14">
        <v>22</v>
      </c>
      <c r="B39" s="14" t="s">
        <v>89</v>
      </c>
      <c r="C39" s="14" t="s">
        <v>108</v>
      </c>
      <c r="D39" s="14">
        <v>56183.333333333336</v>
      </c>
    </row>
    <row r="40" spans="1:4" x14ac:dyDescent="0.25">
      <c r="A40" s="14">
        <v>22</v>
      </c>
      <c r="B40" s="14" t="s">
        <v>90</v>
      </c>
      <c r="C40" s="14" t="s">
        <v>108</v>
      </c>
      <c r="D40" s="14">
        <v>55099.916666666664</v>
      </c>
    </row>
    <row r="41" spans="1:4" x14ac:dyDescent="0.25">
      <c r="A41" s="14">
        <v>22</v>
      </c>
      <c r="B41" s="14" t="s">
        <v>91</v>
      </c>
      <c r="C41" s="14" t="s">
        <v>108</v>
      </c>
      <c r="D41" s="14">
        <v>53364.208333333336</v>
      </c>
    </row>
    <row r="42" spans="1:4" x14ac:dyDescent="0.25">
      <c r="A42" s="14">
        <v>22</v>
      </c>
      <c r="B42" s="14" t="s">
        <v>92</v>
      </c>
      <c r="C42" s="14" t="s">
        <v>107</v>
      </c>
      <c r="D42" s="14">
        <v>51226.291666666664</v>
      </c>
    </row>
    <row r="43" spans="1:4" x14ac:dyDescent="0.25">
      <c r="A43" s="14">
        <v>22</v>
      </c>
      <c r="B43" s="14" t="s">
        <v>93</v>
      </c>
      <c r="C43" s="14" t="s">
        <v>107</v>
      </c>
      <c r="D43" s="14">
        <v>49271.166666666664</v>
      </c>
    </row>
    <row r="44" spans="1:4" x14ac:dyDescent="0.25">
      <c r="A44" s="14">
        <v>22</v>
      </c>
      <c r="B44" s="14" t="s">
        <v>82</v>
      </c>
      <c r="C44" s="14" t="s">
        <v>107</v>
      </c>
      <c r="D44" s="14">
        <v>47176.291666666664</v>
      </c>
    </row>
    <row r="45" spans="1:4" x14ac:dyDescent="0.25">
      <c r="A45" s="14">
        <v>22</v>
      </c>
      <c r="B45" s="14" t="s">
        <v>83</v>
      </c>
      <c r="C45" s="14" t="s">
        <v>106</v>
      </c>
      <c r="D45" s="14">
        <v>44837.916666666664</v>
      </c>
    </row>
    <row r="46" spans="1:4" x14ac:dyDescent="0.25">
      <c r="A46" s="14">
        <v>22</v>
      </c>
      <c r="B46" s="14" t="s">
        <v>84</v>
      </c>
      <c r="C46" s="14" t="s">
        <v>106</v>
      </c>
      <c r="D46" s="14">
        <v>42298.25</v>
      </c>
    </row>
    <row r="47" spans="1:4" x14ac:dyDescent="0.25">
      <c r="A47" s="14">
        <v>22</v>
      </c>
      <c r="B47" s="14" t="s">
        <v>85</v>
      </c>
      <c r="C47" s="14" t="s">
        <v>106</v>
      </c>
      <c r="D47" s="14">
        <v>39599.5</v>
      </c>
    </row>
    <row r="48" spans="1:4" x14ac:dyDescent="0.25">
      <c r="A48" s="14">
        <v>19</v>
      </c>
      <c r="B48" s="14" t="s">
        <v>94</v>
      </c>
      <c r="C48" s="14" t="s">
        <v>109</v>
      </c>
      <c r="D48" s="14">
        <v>37077.125</v>
      </c>
    </row>
    <row r="49" spans="1:4" x14ac:dyDescent="0.25">
      <c r="A49" s="14">
        <v>19</v>
      </c>
      <c r="B49" s="14" t="s">
        <v>95</v>
      </c>
      <c r="C49" s="14" t="s">
        <v>109</v>
      </c>
      <c r="D49" s="14">
        <v>34791.541666666664</v>
      </c>
    </row>
    <row r="50" spans="1:4" x14ac:dyDescent="0.25">
      <c r="A50" s="14">
        <v>19</v>
      </c>
      <c r="B50" s="14" t="s">
        <v>96</v>
      </c>
      <c r="C50" s="14" t="s">
        <v>109</v>
      </c>
      <c r="D50" s="14">
        <v>32791.958333333336</v>
      </c>
    </row>
    <row r="51" spans="1:4" x14ac:dyDescent="0.25">
      <c r="A51" s="14">
        <v>19</v>
      </c>
      <c r="B51" s="14" t="s">
        <v>97</v>
      </c>
      <c r="C51" s="14" t="s">
        <v>108</v>
      </c>
      <c r="D51" s="14">
        <v>30902.416666666668</v>
      </c>
    </row>
    <row r="52" spans="1:4" x14ac:dyDescent="0.25">
      <c r="A52" s="14">
        <v>19</v>
      </c>
      <c r="B52" s="14" t="s">
        <v>98</v>
      </c>
      <c r="C52" s="14" t="s">
        <v>108</v>
      </c>
      <c r="D52" s="14">
        <v>29556.5</v>
      </c>
    </row>
    <row r="53" spans="1:4" x14ac:dyDescent="0.25">
      <c r="A53" s="14">
        <v>19</v>
      </c>
      <c r="B53" s="14" t="s">
        <v>99</v>
      </c>
      <c r="C53" s="14" t="s">
        <v>108</v>
      </c>
      <c r="D53" s="14">
        <v>28938.083333333332</v>
      </c>
    </row>
    <row r="54" spans="1:4" x14ac:dyDescent="0.25">
      <c r="A54" s="14">
        <v>19</v>
      </c>
      <c r="B54" s="14" t="s">
        <v>100</v>
      </c>
      <c r="C54" s="14" t="s">
        <v>107</v>
      </c>
      <c r="D54" s="14">
        <v>28987.666666666668</v>
      </c>
    </row>
    <row r="55" spans="1:4" x14ac:dyDescent="0.25">
      <c r="A55" s="14">
        <v>19</v>
      </c>
      <c r="B55" s="14" t="s">
        <v>101</v>
      </c>
      <c r="C55" s="14" t="s">
        <v>107</v>
      </c>
      <c r="D55" s="14">
        <v>29370.666666666668</v>
      </c>
    </row>
    <row r="56" spans="1:4" x14ac:dyDescent="0.25">
      <c r="A56" s="14">
        <v>19</v>
      </c>
      <c r="B56" s="14" t="s">
        <v>102</v>
      </c>
      <c r="C56" s="14" t="s">
        <v>107</v>
      </c>
      <c r="D56" s="14">
        <v>29829.875</v>
      </c>
    </row>
    <row r="57" spans="1:4" x14ac:dyDescent="0.25">
      <c r="A57" s="14">
        <v>19</v>
      </c>
      <c r="B57" s="14" t="s">
        <v>103</v>
      </c>
      <c r="C57" s="14" t="s">
        <v>106</v>
      </c>
      <c r="D57" s="14">
        <v>30884.708333333332</v>
      </c>
    </row>
    <row r="58" spans="1:4" x14ac:dyDescent="0.25">
      <c r="A58" s="14">
        <v>19</v>
      </c>
      <c r="B58" s="14" t="s">
        <v>104</v>
      </c>
      <c r="C58" s="14" t="s">
        <v>106</v>
      </c>
      <c r="D58" s="14">
        <v>32730.458333333332</v>
      </c>
    </row>
    <row r="59" spans="1:4" x14ac:dyDescent="0.25">
      <c r="A59" s="14">
        <v>19</v>
      </c>
      <c r="B59" s="14" t="s">
        <v>105</v>
      </c>
      <c r="C59" s="14" t="s">
        <v>106</v>
      </c>
      <c r="D59" s="14">
        <v>34785.833333333336</v>
      </c>
    </row>
    <row r="60" spans="1:4" x14ac:dyDescent="0.25">
      <c r="A60" s="14">
        <v>18</v>
      </c>
      <c r="B60" s="14" t="s">
        <v>94</v>
      </c>
      <c r="C60" s="14" t="s">
        <v>109</v>
      </c>
      <c r="D60" s="14">
        <v>36377.916666666664</v>
      </c>
    </row>
    <row r="61" spans="1:4" x14ac:dyDescent="0.25">
      <c r="A61" s="14">
        <v>18</v>
      </c>
      <c r="B61" s="14" t="s">
        <v>95</v>
      </c>
      <c r="C61" s="14" t="s">
        <v>109</v>
      </c>
      <c r="D61" s="14">
        <v>37357.416666666664</v>
      </c>
    </row>
    <row r="62" spans="1:4" x14ac:dyDescent="0.25">
      <c r="A62" s="14">
        <v>18</v>
      </c>
      <c r="B62" s="14" t="s">
        <v>96</v>
      </c>
      <c r="C62" s="14" t="s">
        <v>109</v>
      </c>
      <c r="D62" s="14">
        <v>38124.625</v>
      </c>
    </row>
    <row r="63" spans="1:4" x14ac:dyDescent="0.25">
      <c r="A63" s="14">
        <v>18</v>
      </c>
      <c r="B63" s="14" t="s">
        <v>97</v>
      </c>
      <c r="C63" s="14" t="s">
        <v>108</v>
      </c>
      <c r="D63" s="14">
        <v>39085.833333333336</v>
      </c>
    </row>
    <row r="64" spans="1:4" x14ac:dyDescent="0.25">
      <c r="A64" s="14">
        <v>18</v>
      </c>
      <c r="B64" s="14" t="s">
        <v>98</v>
      </c>
      <c r="C64" s="14" t="s">
        <v>108</v>
      </c>
      <c r="D64" s="14">
        <v>39880.125</v>
      </c>
    </row>
    <row r="65" spans="1:4" x14ac:dyDescent="0.25">
      <c r="A65" s="14">
        <v>18</v>
      </c>
      <c r="B65" s="14" t="s">
        <v>99</v>
      </c>
      <c r="C65" s="14" t="s">
        <v>108</v>
      </c>
      <c r="D65" s="14">
        <v>40371.833333333336</v>
      </c>
    </row>
    <row r="66" spans="1:4" x14ac:dyDescent="0.25">
      <c r="A66" s="14">
        <v>18</v>
      </c>
      <c r="B66" s="14" t="s">
        <v>100</v>
      </c>
      <c r="C66" s="14" t="s">
        <v>107</v>
      </c>
      <c r="D66" s="14">
        <v>40479.916666666664</v>
      </c>
    </row>
    <row r="67" spans="1:4" x14ac:dyDescent="0.25">
      <c r="A67" s="14">
        <v>18</v>
      </c>
      <c r="B67" s="14" t="s">
        <v>101</v>
      </c>
      <c r="C67" s="14" t="s">
        <v>107</v>
      </c>
      <c r="D67" s="14">
        <v>40281.291666666664</v>
      </c>
    </row>
    <row r="68" spans="1:4" x14ac:dyDescent="0.25">
      <c r="A68" s="14">
        <v>18</v>
      </c>
      <c r="B68" s="14" t="s">
        <v>102</v>
      </c>
      <c r="C68" s="14" t="s">
        <v>107</v>
      </c>
      <c r="D68" s="14">
        <v>40113.791666666664</v>
      </c>
    </row>
    <row r="69" spans="1:4" x14ac:dyDescent="0.25">
      <c r="A69" s="14">
        <v>18</v>
      </c>
      <c r="B69" s="14" t="s">
        <v>103</v>
      </c>
      <c r="C69" s="14" t="s">
        <v>106</v>
      </c>
      <c r="D69" s="14">
        <v>39594.625</v>
      </c>
    </row>
    <row r="70" spans="1:4" x14ac:dyDescent="0.25">
      <c r="A70" s="14">
        <v>18</v>
      </c>
      <c r="B70" s="14" t="s">
        <v>104</v>
      </c>
      <c r="C70" s="14" t="s">
        <v>106</v>
      </c>
      <c r="D70" s="14">
        <v>38651.458333333336</v>
      </c>
    </row>
    <row r="71" spans="1:4" x14ac:dyDescent="0.25">
      <c r="A71" s="14">
        <v>18</v>
      </c>
      <c r="B71" s="14" t="s">
        <v>105</v>
      </c>
      <c r="C71" s="14" t="s">
        <v>106</v>
      </c>
      <c r="D71" s="14">
        <v>37641.708333333336</v>
      </c>
    </row>
    <row r="72" spans="1:4" x14ac:dyDescent="0.25">
      <c r="A72" s="14">
        <v>17</v>
      </c>
      <c r="B72" s="14" t="s">
        <v>94</v>
      </c>
      <c r="C72" s="14" t="s">
        <v>109</v>
      </c>
      <c r="D72" s="14">
        <v>36803.625</v>
      </c>
    </row>
    <row r="73" spans="1:4" x14ac:dyDescent="0.25">
      <c r="A73" s="14">
        <v>17</v>
      </c>
      <c r="B73" s="14" t="s">
        <v>95</v>
      </c>
      <c r="C73" s="14" t="s">
        <v>109</v>
      </c>
      <c r="D73" s="14">
        <v>36410.916666666664</v>
      </c>
    </row>
    <row r="74" spans="1:4" x14ac:dyDescent="0.25">
      <c r="A74" s="14">
        <v>17</v>
      </c>
      <c r="B74" s="14" t="s">
        <v>96</v>
      </c>
      <c r="C74" s="14" t="s">
        <v>109</v>
      </c>
      <c r="D74" s="14">
        <v>36454.125</v>
      </c>
    </row>
    <row r="75" spans="1:4" x14ac:dyDescent="0.25">
      <c r="A75" s="14">
        <v>17</v>
      </c>
      <c r="B75" s="14" t="s">
        <v>97</v>
      </c>
      <c r="C75" s="14" t="s">
        <v>108</v>
      </c>
      <c r="D75" s="14">
        <v>36638.791666666664</v>
      </c>
    </row>
    <row r="76" spans="1:4" x14ac:dyDescent="0.25">
      <c r="A76" s="14">
        <v>17</v>
      </c>
      <c r="B76" s="14" t="s">
        <v>98</v>
      </c>
      <c r="C76" s="14" t="s">
        <v>108</v>
      </c>
      <c r="D76" s="14">
        <v>36619.208333333336</v>
      </c>
    </row>
    <row r="77" spans="1:4" x14ac:dyDescent="0.25">
      <c r="A77" s="14">
        <v>17</v>
      </c>
      <c r="B77" s="14" t="s">
        <v>99</v>
      </c>
      <c r="C77" s="14" t="s">
        <v>108</v>
      </c>
      <c r="D77" s="14">
        <v>36469.333333333336</v>
      </c>
    </row>
    <row r="78" spans="1:4" x14ac:dyDescent="0.25">
      <c r="A78" s="14">
        <v>17</v>
      </c>
      <c r="B78" s="14" t="s">
        <v>100</v>
      </c>
      <c r="C78" s="14" t="s">
        <v>107</v>
      </c>
      <c r="D78" s="14">
        <v>36486.208333333336</v>
      </c>
    </row>
    <row r="79" spans="1:4" x14ac:dyDescent="0.25">
      <c r="A79" s="14">
        <v>17</v>
      </c>
      <c r="B79" s="14" t="s">
        <v>101</v>
      </c>
      <c r="C79" s="14" t="s">
        <v>107</v>
      </c>
      <c r="D79" s="14">
        <v>36580.083333333336</v>
      </c>
    </row>
    <row r="80" spans="1:4" x14ac:dyDescent="0.25">
      <c r="A80" s="14">
        <v>17</v>
      </c>
      <c r="B80" s="14" t="s">
        <v>102</v>
      </c>
      <c r="C80" s="14" t="s">
        <v>107</v>
      </c>
      <c r="D80" s="14">
        <v>36521.833333333336</v>
      </c>
    </row>
    <row r="81" spans="1:4" x14ac:dyDescent="0.25">
      <c r="A81" s="14">
        <v>17</v>
      </c>
      <c r="B81" s="14" t="s">
        <v>103</v>
      </c>
      <c r="C81" s="14" t="s">
        <v>106</v>
      </c>
      <c r="D81" s="14">
        <v>36188.291666666664</v>
      </c>
    </row>
    <row r="82" spans="1:4" x14ac:dyDescent="0.25">
      <c r="A82" s="14">
        <v>17</v>
      </c>
      <c r="B82" s="14" t="s">
        <v>104</v>
      </c>
      <c r="C82" s="14" t="s">
        <v>106</v>
      </c>
      <c r="D82" s="14">
        <v>35732.208333333336</v>
      </c>
    </row>
    <row r="83" spans="1:4" x14ac:dyDescent="0.25">
      <c r="A83" s="14">
        <v>17</v>
      </c>
      <c r="B83" s="14" t="s">
        <v>105</v>
      </c>
      <c r="C83" s="14" t="s">
        <v>106</v>
      </c>
      <c r="D83" s="14">
        <v>35306.375</v>
      </c>
    </row>
    <row r="84" spans="1:4" x14ac:dyDescent="0.25">
      <c r="A84" s="14">
        <v>16</v>
      </c>
      <c r="B84" s="14" t="s">
        <v>94</v>
      </c>
      <c r="C84" s="14" t="s">
        <v>109</v>
      </c>
      <c r="D84" s="14">
        <v>35007.875</v>
      </c>
    </row>
    <row r="85" spans="1:4" x14ac:dyDescent="0.25">
      <c r="A85" s="14">
        <v>16</v>
      </c>
      <c r="B85" s="14" t="s">
        <v>95</v>
      </c>
      <c r="C85" s="14" t="s">
        <v>109</v>
      </c>
      <c r="D85" s="14">
        <v>34925.416666666664</v>
      </c>
    </row>
    <row r="86" spans="1:4" x14ac:dyDescent="0.25">
      <c r="A86" s="14">
        <v>16</v>
      </c>
      <c r="B86" s="14" t="s">
        <v>96</v>
      </c>
      <c r="C86" s="14" t="s">
        <v>109</v>
      </c>
      <c r="D86" s="14">
        <v>34623.583333333336</v>
      </c>
    </row>
    <row r="87" spans="1:4" x14ac:dyDescent="0.25">
      <c r="A87" s="14">
        <v>16</v>
      </c>
      <c r="B87" s="14" t="s">
        <v>97</v>
      </c>
      <c r="C87" s="14" t="s">
        <v>108</v>
      </c>
      <c r="D87" s="14">
        <v>34409.458333333336</v>
      </c>
    </row>
    <row r="88" spans="1:4" x14ac:dyDescent="0.25">
      <c r="A88" s="14">
        <v>16</v>
      </c>
      <c r="B88" s="14" t="s">
        <v>98</v>
      </c>
      <c r="C88" s="14" t="s">
        <v>108</v>
      </c>
      <c r="D88" s="14">
        <v>34675.875</v>
      </c>
    </row>
    <row r="89" spans="1:4" x14ac:dyDescent="0.25">
      <c r="A89" s="14">
        <v>16</v>
      </c>
      <c r="B89" s="14" t="s">
        <v>99</v>
      </c>
      <c r="C89" s="14" t="s">
        <v>108</v>
      </c>
      <c r="D89" s="14">
        <v>34884.166666666664</v>
      </c>
    </row>
    <row r="90" spans="1:4" x14ac:dyDescent="0.25">
      <c r="A90" s="14">
        <v>16</v>
      </c>
      <c r="B90" s="14" t="s">
        <v>100</v>
      </c>
      <c r="C90" s="14" t="s">
        <v>107</v>
      </c>
      <c r="D90" s="14">
        <v>34936.708333333336</v>
      </c>
    </row>
    <row r="91" spans="1:4" x14ac:dyDescent="0.25">
      <c r="A91" s="14">
        <v>16</v>
      </c>
      <c r="B91" s="14" t="s">
        <v>101</v>
      </c>
      <c r="C91" s="14" t="s">
        <v>107</v>
      </c>
      <c r="D91" s="14">
        <v>34830</v>
      </c>
    </row>
    <row r="92" spans="1:4" x14ac:dyDescent="0.25">
      <c r="A92" s="14">
        <v>16</v>
      </c>
      <c r="B92" s="14" t="s">
        <v>102</v>
      </c>
      <c r="C92" s="14" t="s">
        <v>107</v>
      </c>
      <c r="D92" s="14">
        <v>34730.541666666664</v>
      </c>
    </row>
    <row r="93" spans="1:4" x14ac:dyDescent="0.25">
      <c r="A93" s="14">
        <v>16</v>
      </c>
      <c r="B93" s="14" t="s">
        <v>103</v>
      </c>
      <c r="C93" s="14" t="s">
        <v>106</v>
      </c>
      <c r="D93" s="14">
        <v>34946.875</v>
      </c>
    </row>
    <row r="94" spans="1:4" x14ac:dyDescent="0.25">
      <c r="A94" s="14">
        <v>16</v>
      </c>
      <c r="B94" s="14" t="s">
        <v>104</v>
      </c>
      <c r="C94" s="14" t="s">
        <v>106</v>
      </c>
      <c r="D94" s="14">
        <v>35245.458333333336</v>
      </c>
    </row>
    <row r="95" spans="1:4" x14ac:dyDescent="0.25">
      <c r="A95" s="14">
        <v>16</v>
      </c>
      <c r="B95" s="14" t="s">
        <v>105</v>
      </c>
      <c r="C95" s="14" t="s">
        <v>106</v>
      </c>
      <c r="D95" s="14">
        <v>35452.875</v>
      </c>
    </row>
    <row r="96" spans="1:4" x14ac:dyDescent="0.25">
      <c r="A96" s="14">
        <v>15</v>
      </c>
      <c r="B96" s="14" t="s">
        <v>94</v>
      </c>
      <c r="C96" s="14" t="s">
        <v>109</v>
      </c>
      <c r="D96" s="14">
        <v>35489.416666666664</v>
      </c>
    </row>
    <row r="97" spans="1:4" x14ac:dyDescent="0.25">
      <c r="A97" s="14">
        <v>15</v>
      </c>
      <c r="B97" s="14" t="s">
        <v>95</v>
      </c>
      <c r="C97" s="14" t="s">
        <v>109</v>
      </c>
      <c r="D97" s="14">
        <v>35291.166666666664</v>
      </c>
    </row>
    <row r="98" spans="1:4" x14ac:dyDescent="0.25">
      <c r="A98" s="14">
        <v>15</v>
      </c>
      <c r="B98" s="14" t="s">
        <v>96</v>
      </c>
      <c r="C98" s="14" t="s">
        <v>109</v>
      </c>
      <c r="D98" s="14">
        <v>35331.125</v>
      </c>
    </row>
    <row r="99" spans="1:4" x14ac:dyDescent="0.25">
      <c r="A99" s="14">
        <v>15</v>
      </c>
      <c r="B99" s="14" t="s">
        <v>97</v>
      </c>
      <c r="C99" s="14" t="s">
        <v>108</v>
      </c>
      <c r="D99" s="14">
        <v>35339.083333333336</v>
      </c>
    </row>
    <row r="100" spans="1:4" x14ac:dyDescent="0.25">
      <c r="A100" s="14">
        <v>15</v>
      </c>
      <c r="B100" s="14" t="s">
        <v>98</v>
      </c>
      <c r="C100" s="14" t="s">
        <v>108</v>
      </c>
      <c r="D100" s="14">
        <v>35281.875</v>
      </c>
    </row>
    <row r="101" spans="1:4" x14ac:dyDescent="0.25">
      <c r="A101" s="14">
        <v>15</v>
      </c>
      <c r="B101" s="14" t="s">
        <v>99</v>
      </c>
      <c r="C101" s="14" t="s">
        <v>108</v>
      </c>
      <c r="D101" s="14">
        <v>35362.666666666664</v>
      </c>
    </row>
    <row r="102" spans="1:4" x14ac:dyDescent="0.25">
      <c r="A102" s="14">
        <v>15</v>
      </c>
      <c r="B102" s="14" t="s">
        <v>100</v>
      </c>
      <c r="C102" s="14" t="s">
        <v>107</v>
      </c>
      <c r="D102" s="14">
        <v>35356.166666666664</v>
      </c>
    </row>
    <row r="103" spans="1:4" x14ac:dyDescent="0.25">
      <c r="A103" s="14">
        <v>15</v>
      </c>
      <c r="B103" s="14" t="s">
        <v>101</v>
      </c>
      <c r="C103" s="14" t="s">
        <v>107</v>
      </c>
      <c r="D103" s="14">
        <v>35659.041666666664</v>
      </c>
    </row>
    <row r="104" spans="1:4" x14ac:dyDescent="0.25">
      <c r="A104" s="14">
        <v>15</v>
      </c>
      <c r="B104" s="14" t="s">
        <v>102</v>
      </c>
      <c r="C104" s="14" t="s">
        <v>107</v>
      </c>
      <c r="D104" s="14">
        <v>35974.083333333336</v>
      </c>
    </row>
    <row r="105" spans="1:4" x14ac:dyDescent="0.25">
      <c r="A105" s="14">
        <v>15</v>
      </c>
      <c r="B105" s="14" t="s">
        <v>103</v>
      </c>
      <c r="C105" s="14" t="s">
        <v>106</v>
      </c>
      <c r="D105" s="14">
        <v>35875.166666666664</v>
      </c>
    </row>
    <row r="106" spans="1:4" x14ac:dyDescent="0.25">
      <c r="A106" s="14">
        <v>15</v>
      </c>
      <c r="B106" s="14" t="s">
        <v>104</v>
      </c>
      <c r="C106" s="14" t="s">
        <v>106</v>
      </c>
      <c r="D106" s="14">
        <v>35587.791666666664</v>
      </c>
    </row>
    <row r="107" spans="1:4" x14ac:dyDescent="0.25">
      <c r="A107" s="14">
        <v>15</v>
      </c>
      <c r="B107" s="14" t="s">
        <v>105</v>
      </c>
      <c r="C107" s="14" t="s">
        <v>106</v>
      </c>
      <c r="D107" s="14">
        <v>35476.583333333336</v>
      </c>
    </row>
    <row r="108" spans="1:4" x14ac:dyDescent="0.25">
      <c r="A108" s="14">
        <v>14</v>
      </c>
      <c r="B108" s="14" t="s">
        <v>94</v>
      </c>
      <c r="C108" s="14" t="s">
        <v>109</v>
      </c>
      <c r="D108" s="14">
        <v>35396.916666666664</v>
      </c>
    </row>
    <row r="109" spans="1:4" x14ac:dyDescent="0.25">
      <c r="A109" s="14">
        <v>14</v>
      </c>
      <c r="B109" s="14" t="s">
        <v>95</v>
      </c>
      <c r="C109" s="14" t="s">
        <v>109</v>
      </c>
      <c r="D109" s="14">
        <v>35269.083333333336</v>
      </c>
    </row>
    <row r="110" spans="1:4" x14ac:dyDescent="0.25">
      <c r="A110" s="14">
        <v>14</v>
      </c>
      <c r="B110" s="14" t="s">
        <v>96</v>
      </c>
      <c r="C110" s="14" t="s">
        <v>109</v>
      </c>
      <c r="D110" s="14">
        <v>35143.916666666664</v>
      </c>
    </row>
    <row r="111" spans="1:4" x14ac:dyDescent="0.25">
      <c r="A111" s="14">
        <v>14</v>
      </c>
      <c r="B111" s="14" t="s">
        <v>97</v>
      </c>
      <c r="C111" s="14" t="s">
        <v>108</v>
      </c>
      <c r="D111" s="14">
        <v>34993.625</v>
      </c>
    </row>
    <row r="112" spans="1:4" x14ac:dyDescent="0.25">
      <c r="A112" s="14">
        <v>14</v>
      </c>
      <c r="B112" s="14" t="s">
        <v>98</v>
      </c>
      <c r="C112" s="14" t="s">
        <v>108</v>
      </c>
      <c r="D112" s="14">
        <v>34890.166666666664</v>
      </c>
    </row>
    <row r="113" spans="1:4" x14ac:dyDescent="0.25">
      <c r="A113" s="14">
        <v>14</v>
      </c>
      <c r="B113" s="14" t="s">
        <v>99</v>
      </c>
      <c r="C113" s="14" t="s">
        <v>108</v>
      </c>
      <c r="D113" s="14">
        <v>34776.666666666664</v>
      </c>
    </row>
    <row r="114" spans="1:4" x14ac:dyDescent="0.25">
      <c r="A114" s="14">
        <v>14</v>
      </c>
      <c r="B114" s="14" t="s">
        <v>100</v>
      </c>
      <c r="C114" s="14" t="s">
        <v>107</v>
      </c>
      <c r="D114" s="14">
        <v>34683.125</v>
      </c>
    </row>
    <row r="115" spans="1:4" x14ac:dyDescent="0.25">
      <c r="A115" s="14">
        <v>14</v>
      </c>
      <c r="B115" s="14" t="s">
        <v>101</v>
      </c>
      <c r="C115" s="14" t="s">
        <v>107</v>
      </c>
      <c r="D115" s="14">
        <v>34679.583333333336</v>
      </c>
    </row>
    <row r="116" spans="1:4" x14ac:dyDescent="0.25">
      <c r="A116" s="14">
        <v>14</v>
      </c>
      <c r="B116" s="14" t="s">
        <v>102</v>
      </c>
      <c r="C116" s="14" t="s">
        <v>107</v>
      </c>
      <c r="D116" s="14">
        <v>34661.541666666664</v>
      </c>
    </row>
    <row r="117" spans="1:4" x14ac:dyDescent="0.25">
      <c r="A117" s="14">
        <v>14</v>
      </c>
      <c r="B117" s="14" t="s">
        <v>103</v>
      </c>
      <c r="C117" s="14" t="s">
        <v>106</v>
      </c>
      <c r="D117" s="14">
        <v>34607.791666666664</v>
      </c>
    </row>
    <row r="118" spans="1:4" x14ac:dyDescent="0.25">
      <c r="A118" s="14">
        <v>14</v>
      </c>
      <c r="B118" s="14" t="s">
        <v>104</v>
      </c>
      <c r="C118" s="14" t="s">
        <v>106</v>
      </c>
      <c r="D118" s="14">
        <v>34824.958333333336</v>
      </c>
    </row>
    <row r="119" spans="1:4" x14ac:dyDescent="0.25">
      <c r="A119" s="14">
        <v>14</v>
      </c>
      <c r="B119" s="14" t="s">
        <v>105</v>
      </c>
      <c r="C119" s="14" t="s">
        <v>106</v>
      </c>
      <c r="D119" s="14">
        <v>34970.458333333336</v>
      </c>
    </row>
    <row r="120" spans="1:4" x14ac:dyDescent="0.25">
      <c r="A120" s="14">
        <v>13</v>
      </c>
      <c r="B120" s="14" t="s">
        <v>94</v>
      </c>
      <c r="C120" s="14" t="s">
        <v>109</v>
      </c>
      <c r="D120" s="14">
        <v>35096.625</v>
      </c>
    </row>
    <row r="121" spans="1:4" x14ac:dyDescent="0.25">
      <c r="A121" s="14">
        <v>13</v>
      </c>
      <c r="B121" s="14" t="s">
        <v>95</v>
      </c>
      <c r="C121" s="14" t="s">
        <v>109</v>
      </c>
      <c r="D121" s="14">
        <v>35444.041666666664</v>
      </c>
    </row>
    <row r="122" spans="1:4" x14ac:dyDescent="0.25">
      <c r="A122" s="14">
        <v>13</v>
      </c>
      <c r="B122" s="14" t="s">
        <v>96</v>
      </c>
      <c r="C122" s="14" t="s">
        <v>109</v>
      </c>
      <c r="D122" s="14">
        <v>35823.333333333336</v>
      </c>
    </row>
    <row r="123" spans="1:4" x14ac:dyDescent="0.25">
      <c r="A123" s="14">
        <v>13</v>
      </c>
      <c r="B123" s="14" t="s">
        <v>97</v>
      </c>
      <c r="C123" s="14" t="s">
        <v>108</v>
      </c>
      <c r="D123" s="14">
        <v>36436.041666666664</v>
      </c>
    </row>
    <row r="124" spans="1:4" x14ac:dyDescent="0.25">
      <c r="A124" s="14">
        <v>13</v>
      </c>
      <c r="B124" s="14" t="s">
        <v>98</v>
      </c>
      <c r="C124" s="14" t="s">
        <v>108</v>
      </c>
      <c r="D124" s="14">
        <v>37097.125</v>
      </c>
    </row>
    <row r="125" spans="1:4" x14ac:dyDescent="0.25">
      <c r="A125" s="14">
        <v>13</v>
      </c>
      <c r="B125" s="14" t="s">
        <v>99</v>
      </c>
      <c r="C125" s="14" t="s">
        <v>108</v>
      </c>
      <c r="D125" s="14">
        <v>37769.083333333336</v>
      </c>
    </row>
    <row r="126" spans="1:4" x14ac:dyDescent="0.25">
      <c r="A126" s="14">
        <v>13</v>
      </c>
      <c r="B126" s="14" t="s">
        <v>100</v>
      </c>
      <c r="C126" s="14" t="s">
        <v>107</v>
      </c>
      <c r="D126" s="14">
        <v>38441.041666666664</v>
      </c>
    </row>
    <row r="127" spans="1:4" x14ac:dyDescent="0.25">
      <c r="A127" s="14">
        <v>13</v>
      </c>
      <c r="B127" s="14" t="s">
        <v>101</v>
      </c>
      <c r="C127" s="14" t="s">
        <v>107</v>
      </c>
      <c r="D127" s="14">
        <v>38947.875</v>
      </c>
    </row>
    <row r="128" spans="1:4" x14ac:dyDescent="0.25">
      <c r="A128" s="14">
        <v>13</v>
      </c>
      <c r="B128" s="14" t="s">
        <v>102</v>
      </c>
      <c r="C128" s="14" t="s">
        <v>107</v>
      </c>
      <c r="D128" s="14">
        <v>39975.416666666664</v>
      </c>
    </row>
    <row r="129" spans="1:4" x14ac:dyDescent="0.25">
      <c r="A129" s="14">
        <v>13</v>
      </c>
      <c r="B129" s="14" t="s">
        <v>103</v>
      </c>
      <c r="C129" s="14" t="s">
        <v>106</v>
      </c>
      <c r="D129" s="14">
        <v>41028.375</v>
      </c>
    </row>
    <row r="130" spans="1:4" x14ac:dyDescent="0.25">
      <c r="A130" s="14">
        <v>13</v>
      </c>
      <c r="B130" s="14" t="s">
        <v>104</v>
      </c>
      <c r="C130" s="14" t="s">
        <v>106</v>
      </c>
      <c r="D130" s="14">
        <v>41611.083333333336</v>
      </c>
    </row>
    <row r="131" spans="1:4" x14ac:dyDescent="0.25">
      <c r="A131" s="14">
        <v>13</v>
      </c>
      <c r="B131" s="14" t="s">
        <v>105</v>
      </c>
      <c r="C131" s="14" t="s">
        <v>106</v>
      </c>
      <c r="D131" s="14">
        <v>42254.791666666664</v>
      </c>
    </row>
    <row r="132" spans="1:4" x14ac:dyDescent="0.25">
      <c r="A132" s="14">
        <v>12</v>
      </c>
      <c r="B132" s="14" t="s">
        <v>94</v>
      </c>
      <c r="C132" s="14" t="s">
        <v>109</v>
      </c>
      <c r="D132" s="14">
        <v>42820.458333333336</v>
      </c>
    </row>
    <row r="133" spans="1:4" x14ac:dyDescent="0.25">
      <c r="A133" s="14">
        <v>12</v>
      </c>
      <c r="B133" s="14" t="s">
        <v>95</v>
      </c>
      <c r="C133" s="14" t="s">
        <v>109</v>
      </c>
      <c r="D133" s="14">
        <v>43206.958333333336</v>
      </c>
    </row>
    <row r="134" spans="1:4" x14ac:dyDescent="0.25">
      <c r="A134" s="14">
        <v>12</v>
      </c>
      <c r="B134" s="14" t="s">
        <v>96</v>
      </c>
      <c r="C134" s="14" t="s">
        <v>109</v>
      </c>
      <c r="D134" s="14">
        <v>43650.458333333336</v>
      </c>
    </row>
    <row r="135" spans="1:4" x14ac:dyDescent="0.25">
      <c r="A135" s="14">
        <v>12</v>
      </c>
      <c r="B135" s="14" t="s">
        <v>97</v>
      </c>
      <c r="C135" s="14" t="s">
        <v>108</v>
      </c>
      <c r="D135" s="14">
        <v>44209.583333333336</v>
      </c>
    </row>
    <row r="136" spans="1:4" x14ac:dyDescent="0.25">
      <c r="A136" s="14">
        <v>12</v>
      </c>
      <c r="B136" s="14" t="s">
        <v>98</v>
      </c>
      <c r="C136" s="14" t="s">
        <v>108</v>
      </c>
      <c r="D136" s="14">
        <v>44893.666666666664</v>
      </c>
    </row>
    <row r="137" spans="1:4" x14ac:dyDescent="0.25">
      <c r="A137" s="14">
        <v>12</v>
      </c>
      <c r="B137" s="14" t="s">
        <v>99</v>
      </c>
      <c r="C137" s="14" t="s">
        <v>108</v>
      </c>
      <c r="D137" s="14">
        <v>45572.583333333336</v>
      </c>
    </row>
    <row r="138" spans="1:4" x14ac:dyDescent="0.25">
      <c r="A138" s="14">
        <v>12</v>
      </c>
      <c r="B138" s="14" t="s">
        <v>100</v>
      </c>
      <c r="C138" s="14" t="s">
        <v>107</v>
      </c>
      <c r="D138" s="14">
        <v>46301.166666666664</v>
      </c>
    </row>
    <row r="139" spans="1:4" x14ac:dyDescent="0.25">
      <c r="A139" s="14">
        <v>12</v>
      </c>
      <c r="B139" s="14" t="s">
        <v>101</v>
      </c>
      <c r="C139" s="14" t="s">
        <v>107</v>
      </c>
      <c r="D139" s="14">
        <v>47230.791666666664</v>
      </c>
    </row>
    <row r="140" spans="1:4" x14ac:dyDescent="0.25">
      <c r="A140" s="14">
        <v>12</v>
      </c>
      <c r="B140" s="14" t="s">
        <v>102</v>
      </c>
      <c r="C140" s="14" t="s">
        <v>107</v>
      </c>
      <c r="D140" s="14">
        <v>48182.208333333336</v>
      </c>
    </row>
    <row r="141" spans="1:4" x14ac:dyDescent="0.25">
      <c r="A141" s="14">
        <v>12</v>
      </c>
      <c r="B141" s="14" t="s">
        <v>103</v>
      </c>
      <c r="C141" s="14" t="s">
        <v>106</v>
      </c>
      <c r="D141" s="14">
        <v>49510.625</v>
      </c>
    </row>
    <row r="142" spans="1:4" x14ac:dyDescent="0.25">
      <c r="A142" s="14">
        <v>12</v>
      </c>
      <c r="B142" s="14" t="s">
        <v>104</v>
      </c>
      <c r="C142" s="14" t="s">
        <v>106</v>
      </c>
      <c r="D142" s="14">
        <v>51439.666666666664</v>
      </c>
    </row>
    <row r="143" spans="1:4" x14ac:dyDescent="0.25">
      <c r="A143" s="14">
        <v>12</v>
      </c>
      <c r="B143" s="14" t="s">
        <v>105</v>
      </c>
      <c r="C143" s="14" t="s">
        <v>106</v>
      </c>
      <c r="D143" s="14">
        <v>53528.625</v>
      </c>
    </row>
    <row r="144" spans="1:4" x14ac:dyDescent="0.25">
      <c r="A144" s="14">
        <v>11</v>
      </c>
      <c r="B144" s="14" t="s">
        <v>94</v>
      </c>
      <c r="C144" s="14" t="s">
        <v>109</v>
      </c>
      <c r="D144" s="14">
        <v>55384.875</v>
      </c>
    </row>
    <row r="145" spans="1:4" x14ac:dyDescent="0.25">
      <c r="A145" s="14">
        <v>11</v>
      </c>
      <c r="B145" s="14" t="s">
        <v>95</v>
      </c>
      <c r="C145" s="14" t="s">
        <v>109</v>
      </c>
      <c r="D145" s="14">
        <v>57297.166666666664</v>
      </c>
    </row>
    <row r="146" spans="1:4" x14ac:dyDescent="0.25">
      <c r="A146" s="14">
        <v>11</v>
      </c>
      <c r="B146" s="14" t="s">
        <v>96</v>
      </c>
      <c r="C146" s="14" t="s">
        <v>109</v>
      </c>
      <c r="D146" s="14">
        <v>59400.166666666664</v>
      </c>
    </row>
    <row r="147" spans="1:4" x14ac:dyDescent="0.25">
      <c r="A147" s="14">
        <v>11</v>
      </c>
      <c r="B147" s="14" t="s">
        <v>97</v>
      </c>
      <c r="C147" s="14" t="s">
        <v>108</v>
      </c>
      <c r="D147" s="14">
        <v>61064.791666666664</v>
      </c>
    </row>
    <row r="148" spans="1:4" x14ac:dyDescent="0.25">
      <c r="A148" s="14">
        <v>11</v>
      </c>
      <c r="B148" s="14" t="s">
        <v>98</v>
      </c>
      <c r="C148" s="14" t="s">
        <v>108</v>
      </c>
      <c r="D148" s="14">
        <v>62026.583333333336</v>
      </c>
    </row>
    <row r="149" spans="1:4" x14ac:dyDescent="0.25">
      <c r="A149" s="14">
        <v>11</v>
      </c>
      <c r="B149" s="14" t="s">
        <v>99</v>
      </c>
      <c r="C149" s="14" t="s">
        <v>108</v>
      </c>
      <c r="D149" s="14">
        <v>62457.166666666664</v>
      </c>
    </row>
    <row r="150" spans="1:4" x14ac:dyDescent="0.25">
      <c r="A150" s="14">
        <v>11</v>
      </c>
      <c r="B150" s="14" t="s">
        <v>100</v>
      </c>
      <c r="C150" s="14" t="s">
        <v>107</v>
      </c>
      <c r="D150" s="14">
        <v>62509.375</v>
      </c>
    </row>
    <row r="151" spans="1:4" x14ac:dyDescent="0.25">
      <c r="A151" s="14">
        <v>11</v>
      </c>
      <c r="B151" s="14" t="s">
        <v>101</v>
      </c>
      <c r="C151" s="14" t="s">
        <v>107</v>
      </c>
      <c r="D151" s="14">
        <v>62731.333333333336</v>
      </c>
    </row>
    <row r="152" spans="1:4" x14ac:dyDescent="0.25">
      <c r="A152" s="14">
        <v>11</v>
      </c>
      <c r="B152" s="14" t="s">
        <v>102</v>
      </c>
      <c r="C152" s="14" t="s">
        <v>107</v>
      </c>
      <c r="D152" s="14">
        <v>62643.708333333336</v>
      </c>
    </row>
    <row r="153" spans="1:4" x14ac:dyDescent="0.25">
      <c r="A153" s="14">
        <v>11</v>
      </c>
      <c r="B153" s="14" t="s">
        <v>103</v>
      </c>
      <c r="C153" s="14" t="s">
        <v>106</v>
      </c>
      <c r="D153" s="14">
        <v>61975.916666666664</v>
      </c>
    </row>
    <row r="154" spans="1:4" x14ac:dyDescent="0.25">
      <c r="A154" s="14">
        <v>11</v>
      </c>
      <c r="B154" s="14" t="s">
        <v>104</v>
      </c>
      <c r="C154" s="14" t="s">
        <v>106</v>
      </c>
      <c r="D154" s="14">
        <v>61552.833333333336</v>
      </c>
    </row>
    <row r="155" spans="1:4" x14ac:dyDescent="0.25">
      <c r="A155" s="14">
        <v>11</v>
      </c>
      <c r="B155" s="14" t="s">
        <v>105</v>
      </c>
      <c r="C155" s="14" t="s">
        <v>106</v>
      </c>
      <c r="D155" s="14">
        <v>61235.916666666664</v>
      </c>
    </row>
    <row r="156" spans="1:4" x14ac:dyDescent="0.25">
      <c r="A156" s="14">
        <v>10</v>
      </c>
      <c r="B156" s="14" t="s">
        <v>94</v>
      </c>
      <c r="C156" s="14" t="s">
        <v>109</v>
      </c>
      <c r="D156" s="14">
        <v>60320.208333333336</v>
      </c>
    </row>
    <row r="157" spans="1:4" x14ac:dyDescent="0.25">
      <c r="A157" s="14">
        <v>10</v>
      </c>
      <c r="B157" s="14" t="s">
        <v>95</v>
      </c>
      <c r="C157" s="14" t="s">
        <v>109</v>
      </c>
      <c r="D157" s="14">
        <v>58691.208333333336</v>
      </c>
    </row>
    <row r="158" spans="1:4" x14ac:dyDescent="0.25">
      <c r="A158" s="14">
        <v>10</v>
      </c>
      <c r="B158" s="14" t="s">
        <v>96</v>
      </c>
      <c r="C158" s="14" t="s">
        <v>109</v>
      </c>
      <c r="D158" s="14">
        <v>56410.291666666664</v>
      </c>
    </row>
    <row r="159" spans="1:4" x14ac:dyDescent="0.25">
      <c r="A159" s="14">
        <v>10</v>
      </c>
      <c r="B159" s="14" t="s">
        <v>97</v>
      </c>
      <c r="C159" s="14" t="s">
        <v>108</v>
      </c>
      <c r="D159" s="14">
        <v>54141.875</v>
      </c>
    </row>
    <row r="160" spans="1:4" x14ac:dyDescent="0.25">
      <c r="A160" s="14">
        <v>10</v>
      </c>
      <c r="B160" s="14" t="s">
        <v>98</v>
      </c>
      <c r="C160" s="14" t="s">
        <v>108</v>
      </c>
      <c r="D160" s="14">
        <v>52427.75</v>
      </c>
    </row>
    <row r="161" spans="1:4" x14ac:dyDescent="0.25">
      <c r="A161" s="14">
        <v>10</v>
      </c>
      <c r="B161" s="14" t="s">
        <v>99</v>
      </c>
      <c r="C161" s="14" t="s">
        <v>108</v>
      </c>
      <c r="D161" s="14">
        <v>51047.333333333336</v>
      </c>
    </row>
    <row r="162" spans="1:4" x14ac:dyDescent="0.25">
      <c r="A162" s="14">
        <v>10</v>
      </c>
      <c r="B162" s="14" t="s">
        <v>100</v>
      </c>
      <c r="C162" s="14" t="s">
        <v>107</v>
      </c>
      <c r="D162" s="14">
        <v>49962.833333333336</v>
      </c>
    </row>
    <row r="163" spans="1:4" x14ac:dyDescent="0.25">
      <c r="A163" s="14">
        <v>10</v>
      </c>
      <c r="B163" s="14" t="s">
        <v>101</v>
      </c>
      <c r="C163" s="14" t="s">
        <v>107</v>
      </c>
      <c r="D163" s="14">
        <v>48697.125</v>
      </c>
    </row>
    <row r="164" spans="1:4" x14ac:dyDescent="0.25">
      <c r="A164" s="14">
        <v>10</v>
      </c>
      <c r="B164" s="14" t="s">
        <v>102</v>
      </c>
      <c r="C164" s="14" t="s">
        <v>107</v>
      </c>
      <c r="D164" s="14">
        <v>47353.75</v>
      </c>
    </row>
    <row r="165" spans="1:4" x14ac:dyDescent="0.25">
      <c r="A165" s="14">
        <v>10</v>
      </c>
      <c r="B165" s="14" t="s">
        <v>103</v>
      </c>
      <c r="C165" s="14" t="s">
        <v>106</v>
      </c>
      <c r="D165" s="14">
        <v>46410.458333333336</v>
      </c>
    </row>
    <row r="166" spans="1:4" x14ac:dyDescent="0.25">
      <c r="A166" s="14">
        <v>10</v>
      </c>
      <c r="B166" s="14" t="s">
        <v>104</v>
      </c>
      <c r="C166" s="14" t="s">
        <v>106</v>
      </c>
      <c r="D166" s="14">
        <v>45335.666666666664</v>
      </c>
    </row>
    <row r="167" spans="1:4" x14ac:dyDescent="0.25">
      <c r="A167" s="14">
        <v>10</v>
      </c>
      <c r="B167" s="14" t="s">
        <v>105</v>
      </c>
      <c r="C167" s="14" t="s">
        <v>106</v>
      </c>
      <c r="D167" s="14">
        <v>44158.666666666664</v>
      </c>
    </row>
    <row r="168" spans="1:4" x14ac:dyDescent="0.25">
      <c r="A168" s="14">
        <v>9</v>
      </c>
      <c r="B168" s="14" t="s">
        <v>94</v>
      </c>
      <c r="C168" s="14" t="s">
        <v>109</v>
      </c>
      <c r="D168" s="14">
        <v>43569.083333333336</v>
      </c>
    </row>
    <row r="169" spans="1:4" x14ac:dyDescent="0.25">
      <c r="A169" s="14">
        <v>9</v>
      </c>
      <c r="B169" s="14" t="s">
        <v>95</v>
      </c>
      <c r="C169" s="14" t="s">
        <v>109</v>
      </c>
      <c r="D169" s="14">
        <v>43327.916666666664</v>
      </c>
    </row>
    <row r="170" spans="1:4" x14ac:dyDescent="0.25">
      <c r="A170" s="14">
        <v>9</v>
      </c>
      <c r="B170" s="14" t="s">
        <v>96</v>
      </c>
      <c r="C170" s="14" t="s">
        <v>109</v>
      </c>
      <c r="D170" s="14">
        <v>43483.583333333336</v>
      </c>
    </row>
    <row r="171" spans="1:4" x14ac:dyDescent="0.25">
      <c r="A171" s="14">
        <v>9</v>
      </c>
      <c r="B171" s="14" t="s">
        <v>97</v>
      </c>
      <c r="C171" s="14" t="s">
        <v>108</v>
      </c>
      <c r="D171" s="14">
        <v>43709.333333333336</v>
      </c>
    </row>
    <row r="172" spans="1:4" x14ac:dyDescent="0.25">
      <c r="A172" s="14">
        <v>9</v>
      </c>
      <c r="B172" s="14" t="s">
        <v>98</v>
      </c>
      <c r="C172" s="14" t="s">
        <v>108</v>
      </c>
      <c r="D172" s="14">
        <v>43834.25</v>
      </c>
    </row>
    <row r="173" spans="1:4" x14ac:dyDescent="0.25">
      <c r="A173" s="14">
        <v>9</v>
      </c>
      <c r="B173" s="14" t="s">
        <v>99</v>
      </c>
      <c r="C173" s="14" t="s">
        <v>108</v>
      </c>
      <c r="D173" s="14">
        <v>44060.833333333336</v>
      </c>
    </row>
    <row r="174" spans="1:4" x14ac:dyDescent="0.25">
      <c r="A174" s="14">
        <v>9</v>
      </c>
      <c r="B174" s="14" t="s">
        <v>100</v>
      </c>
      <c r="C174" s="14" t="s">
        <v>107</v>
      </c>
      <c r="D174" s="14">
        <v>44178.083333333336</v>
      </c>
    </row>
    <row r="175" spans="1:4" x14ac:dyDescent="0.25">
      <c r="A175" s="14">
        <v>9</v>
      </c>
      <c r="B175" s="14" t="s">
        <v>101</v>
      </c>
      <c r="C175" s="14" t="s">
        <v>107</v>
      </c>
      <c r="D175" s="14">
        <v>44316.333333333336</v>
      </c>
    </row>
    <row r="176" spans="1:4" x14ac:dyDescent="0.25">
      <c r="A176" s="14">
        <v>9</v>
      </c>
      <c r="B176" s="14" t="s">
        <v>102</v>
      </c>
      <c r="C176" s="14" t="s">
        <v>107</v>
      </c>
      <c r="D176" s="14">
        <v>44549.791666666664</v>
      </c>
    </row>
    <row r="177" spans="1:4" x14ac:dyDescent="0.25">
      <c r="A177" s="14">
        <v>9</v>
      </c>
      <c r="B177" s="14" t="s">
        <v>103</v>
      </c>
      <c r="C177" s="14" t="s">
        <v>106</v>
      </c>
      <c r="D177" s="14">
        <v>45067</v>
      </c>
    </row>
    <row r="178" spans="1:4" x14ac:dyDescent="0.25">
      <c r="A178" s="14">
        <v>9</v>
      </c>
      <c r="B178" s="14" t="s">
        <v>104</v>
      </c>
      <c r="C178" s="14" t="s">
        <v>106</v>
      </c>
      <c r="D178" s="14">
        <v>45910.125</v>
      </c>
    </row>
    <row r="179" spans="1:4" x14ac:dyDescent="0.25">
      <c r="A179" s="14">
        <v>9</v>
      </c>
      <c r="B179" s="14" t="s">
        <v>105</v>
      </c>
      <c r="C179" s="14" t="s">
        <v>106</v>
      </c>
      <c r="D179" s="14">
        <v>46828.375</v>
      </c>
    </row>
    <row r="180" spans="1:4" x14ac:dyDescent="0.25">
      <c r="A180" s="14">
        <v>8</v>
      </c>
      <c r="B180" s="14" t="s">
        <v>94</v>
      </c>
      <c r="C180" s="14" t="s">
        <v>109</v>
      </c>
      <c r="D180" s="14">
        <v>47682.791666666664</v>
      </c>
    </row>
    <row r="181" spans="1:4" x14ac:dyDescent="0.25">
      <c r="A181" s="14">
        <v>8</v>
      </c>
      <c r="B181" s="14" t="s">
        <v>95</v>
      </c>
      <c r="C181" s="14" t="s">
        <v>109</v>
      </c>
      <c r="D181" s="14">
        <v>48424.083333333336</v>
      </c>
    </row>
    <row r="182" spans="1:4" x14ac:dyDescent="0.25">
      <c r="A182" s="14">
        <v>8</v>
      </c>
      <c r="B182" s="14" t="s">
        <v>96</v>
      </c>
      <c r="C182" s="14" t="s">
        <v>109</v>
      </c>
      <c r="D182" s="14">
        <v>48750.125</v>
      </c>
    </row>
    <row r="183" spans="1:4" x14ac:dyDescent="0.25">
      <c r="A183" s="14">
        <v>8</v>
      </c>
      <c r="B183" s="14" t="s">
        <v>97</v>
      </c>
      <c r="C183" s="14" t="s">
        <v>108</v>
      </c>
      <c r="D183" s="14">
        <v>49244.125</v>
      </c>
    </row>
    <row r="184" spans="1:4" x14ac:dyDescent="0.25">
      <c r="A184" s="14">
        <v>8</v>
      </c>
      <c r="B184" s="14" t="s">
        <v>98</v>
      </c>
      <c r="C184" s="14" t="s">
        <v>108</v>
      </c>
      <c r="D184" s="14">
        <v>49598.5</v>
      </c>
    </row>
    <row r="185" spans="1:4" x14ac:dyDescent="0.25">
      <c r="A185" s="14">
        <v>8</v>
      </c>
      <c r="B185" s="14" t="s">
        <v>99</v>
      </c>
      <c r="C185" s="14" t="s">
        <v>108</v>
      </c>
      <c r="D185" s="14">
        <v>49551.041666666664</v>
      </c>
    </row>
    <row r="186" spans="1:4" x14ac:dyDescent="0.25">
      <c r="A186" s="14">
        <v>8</v>
      </c>
      <c r="B186" s="14" t="s">
        <v>100</v>
      </c>
      <c r="C186" s="14" t="s">
        <v>107</v>
      </c>
      <c r="D186" s="14">
        <v>49627.083333333336</v>
      </c>
    </row>
    <row r="187" spans="1:4" x14ac:dyDescent="0.25">
      <c r="A187" s="14">
        <v>8</v>
      </c>
      <c r="B187" s="14" t="s">
        <v>101</v>
      </c>
      <c r="C187" s="14" t="s">
        <v>107</v>
      </c>
      <c r="D187" s="14">
        <v>49460.625</v>
      </c>
    </row>
    <row r="188" spans="1:4" x14ac:dyDescent="0.25">
      <c r="A188" s="14">
        <v>8</v>
      </c>
      <c r="B188" s="14" t="s">
        <v>102</v>
      </c>
      <c r="C188" s="14" t="s">
        <v>107</v>
      </c>
      <c r="D188" s="14">
        <v>49216.583333333336</v>
      </c>
    </row>
    <row r="189" spans="1:4" x14ac:dyDescent="0.25">
      <c r="A189" s="14">
        <v>8</v>
      </c>
      <c r="B189" s="14" t="s">
        <v>103</v>
      </c>
      <c r="C189" s="14" t="s">
        <v>106</v>
      </c>
      <c r="D189" s="14">
        <v>48808.458333333336</v>
      </c>
    </row>
    <row r="190" spans="1:4" x14ac:dyDescent="0.25">
      <c r="A190" s="14">
        <v>8</v>
      </c>
      <c r="B190" s="14" t="s">
        <v>104</v>
      </c>
      <c r="C190" s="14" t="s">
        <v>106</v>
      </c>
      <c r="D190" s="14">
        <v>47994.541666666664</v>
      </c>
    </row>
    <row r="191" spans="1:4" x14ac:dyDescent="0.25">
      <c r="A191" s="14">
        <v>8</v>
      </c>
      <c r="B191" s="14" t="s">
        <v>105</v>
      </c>
      <c r="C191" s="14" t="s">
        <v>106</v>
      </c>
      <c r="D191" s="14">
        <v>46959.875</v>
      </c>
    </row>
    <row r="192" spans="1:4" x14ac:dyDescent="0.25">
      <c r="A192" s="14">
        <v>7</v>
      </c>
      <c r="B192" s="14" t="s">
        <v>94</v>
      </c>
      <c r="C192" s="14" t="s">
        <v>109</v>
      </c>
      <c r="D192" s="14">
        <v>45941.833333333336</v>
      </c>
    </row>
    <row r="193" spans="1:4" x14ac:dyDescent="0.25">
      <c r="A193" s="14">
        <v>7</v>
      </c>
      <c r="B193" s="14" t="s">
        <v>95</v>
      </c>
      <c r="C193" s="14" t="s">
        <v>109</v>
      </c>
      <c r="D193" s="14">
        <v>44986.083333333336</v>
      </c>
    </row>
    <row r="194" spans="1:4" x14ac:dyDescent="0.25">
      <c r="A194" s="14">
        <v>7</v>
      </c>
      <c r="B194" s="14" t="s">
        <v>96</v>
      </c>
      <c r="C194" s="14" t="s">
        <v>109</v>
      </c>
      <c r="D194" s="14">
        <v>44610.125</v>
      </c>
    </row>
    <row r="195" spans="1:4" x14ac:dyDescent="0.25">
      <c r="A195" s="14">
        <v>7</v>
      </c>
      <c r="B195" s="14" t="s">
        <v>97</v>
      </c>
      <c r="C195" s="14" t="s">
        <v>108</v>
      </c>
      <c r="D195" s="14">
        <v>43700.416666666664</v>
      </c>
    </row>
    <row r="196" spans="1:4" x14ac:dyDescent="0.25">
      <c r="A196" s="14">
        <v>7</v>
      </c>
      <c r="B196" s="14" t="s">
        <v>98</v>
      </c>
      <c r="C196" s="14" t="s">
        <v>108</v>
      </c>
      <c r="D196" s="14">
        <v>42896.875</v>
      </c>
    </row>
    <row r="197" spans="1:4" x14ac:dyDescent="0.25">
      <c r="A197" s="14">
        <v>7</v>
      </c>
      <c r="B197" s="14" t="s">
        <v>99</v>
      </c>
      <c r="C197" s="14" t="s">
        <v>108</v>
      </c>
      <c r="D197" s="14">
        <v>42789</v>
      </c>
    </row>
    <row r="198" spans="1:4" x14ac:dyDescent="0.25">
      <c r="A198" s="14">
        <v>7</v>
      </c>
      <c r="B198" s="14" t="s">
        <v>100</v>
      </c>
      <c r="C198" s="14" t="s">
        <v>107</v>
      </c>
      <c r="D198" s="14">
        <v>42242.083333333336</v>
      </c>
    </row>
    <row r="199" spans="1:4" x14ac:dyDescent="0.25">
      <c r="A199" s="14">
        <v>7</v>
      </c>
      <c r="B199" s="14" t="s">
        <v>101</v>
      </c>
      <c r="C199" s="14" t="s">
        <v>107</v>
      </c>
      <c r="D199" s="14">
        <v>41761.208333333336</v>
      </c>
    </row>
    <row r="200" spans="1:4" x14ac:dyDescent="0.25">
      <c r="A200" s="14">
        <v>7</v>
      </c>
      <c r="B200" s="14" t="s">
        <v>102</v>
      </c>
      <c r="C200" s="14" t="s">
        <v>107</v>
      </c>
      <c r="D200" s="14">
        <v>41244.333333333336</v>
      </c>
    </row>
    <row r="201" spans="1:4" x14ac:dyDescent="0.25">
      <c r="A201" s="14">
        <v>7</v>
      </c>
      <c r="B201" s="14" t="s">
        <v>103</v>
      </c>
      <c r="C201" s="14" t="s">
        <v>106</v>
      </c>
      <c r="D201" s="14">
        <v>40741.375</v>
      </c>
    </row>
    <row r="202" spans="1:4" x14ac:dyDescent="0.25">
      <c r="A202" s="14">
        <v>7</v>
      </c>
      <c r="B202" s="14" t="s">
        <v>104</v>
      </c>
      <c r="C202" s="14" t="s">
        <v>106</v>
      </c>
      <c r="D202" s="14">
        <v>40191.541666666664</v>
      </c>
    </row>
    <row r="203" spans="1:4" x14ac:dyDescent="0.25">
      <c r="A203" s="14">
        <v>7</v>
      </c>
      <c r="B203" s="14" t="s">
        <v>105</v>
      </c>
      <c r="C203" s="14" t="s">
        <v>106</v>
      </c>
      <c r="D203" s="14">
        <v>39601.25</v>
      </c>
    </row>
    <row r="204" spans="1:4" x14ac:dyDescent="0.25">
      <c r="A204" s="14">
        <v>6</v>
      </c>
      <c r="B204" s="14" t="s">
        <v>94</v>
      </c>
      <c r="C204" s="14" t="s">
        <v>109</v>
      </c>
      <c r="D204" s="14">
        <v>38842.625</v>
      </c>
    </row>
    <row r="205" spans="1:4" x14ac:dyDescent="0.25">
      <c r="A205" s="14">
        <v>6</v>
      </c>
      <c r="B205" s="14" t="s">
        <v>95</v>
      </c>
      <c r="C205" s="14" t="s">
        <v>109</v>
      </c>
      <c r="D205" s="14">
        <v>38259.916666666664</v>
      </c>
    </row>
    <row r="206" spans="1:4" x14ac:dyDescent="0.25">
      <c r="A206" s="14">
        <v>6</v>
      </c>
      <c r="B206" s="14" t="s">
        <v>96</v>
      </c>
      <c r="C206" s="14" t="s">
        <v>109</v>
      </c>
      <c r="D206" s="14">
        <v>37645.833333333336</v>
      </c>
    </row>
    <row r="207" spans="1:4" x14ac:dyDescent="0.25">
      <c r="A207" s="14">
        <v>6</v>
      </c>
      <c r="B207" s="14" t="s">
        <v>97</v>
      </c>
      <c r="C207" s="14" t="s">
        <v>108</v>
      </c>
      <c r="D207" s="14">
        <v>37192.875</v>
      </c>
    </row>
    <row r="208" spans="1:4" x14ac:dyDescent="0.25">
      <c r="A208" s="14">
        <v>6</v>
      </c>
      <c r="B208" s="14" t="s">
        <v>98</v>
      </c>
      <c r="C208" s="14" t="s">
        <v>108</v>
      </c>
      <c r="D208" s="14">
        <v>36660.416666666664</v>
      </c>
    </row>
    <row r="209" spans="1:4" x14ac:dyDescent="0.25">
      <c r="A209" s="14">
        <v>6</v>
      </c>
      <c r="B209" s="14" t="s">
        <v>99</v>
      </c>
      <c r="C209" s="14" t="s">
        <v>108</v>
      </c>
      <c r="D209" s="14">
        <v>35933</v>
      </c>
    </row>
    <row r="210" spans="1:4" x14ac:dyDescent="0.25">
      <c r="A210" s="14">
        <v>6</v>
      </c>
      <c r="B210" s="14" t="s">
        <v>100</v>
      </c>
      <c r="C210" s="14" t="s">
        <v>107</v>
      </c>
      <c r="D210" s="14">
        <v>35859.583333333336</v>
      </c>
    </row>
    <row r="211" spans="1:4" x14ac:dyDescent="0.25">
      <c r="A211" s="14">
        <v>6</v>
      </c>
      <c r="B211" s="14" t="s">
        <v>101</v>
      </c>
      <c r="C211" s="14" t="s">
        <v>107</v>
      </c>
      <c r="D211" s="14">
        <v>36088.791666666664</v>
      </c>
    </row>
    <row r="212" spans="1:4" x14ac:dyDescent="0.25">
      <c r="A212" s="14">
        <v>6</v>
      </c>
      <c r="B212" s="14" t="s">
        <v>102</v>
      </c>
      <c r="C212" s="14" t="s">
        <v>107</v>
      </c>
      <c r="D212" s="14">
        <v>36253.791666666664</v>
      </c>
    </row>
    <row r="213" spans="1:4" x14ac:dyDescent="0.25">
      <c r="A213" s="14">
        <v>6</v>
      </c>
      <c r="B213" s="14" t="s">
        <v>103</v>
      </c>
      <c r="C213" s="14" t="s">
        <v>106</v>
      </c>
      <c r="D213" s="14">
        <v>36447.416666666664</v>
      </c>
    </row>
    <row r="214" spans="1:4" x14ac:dyDescent="0.25">
      <c r="A214" s="14">
        <v>6</v>
      </c>
      <c r="B214" s="14" t="s">
        <v>104</v>
      </c>
      <c r="C214" s="14" t="s">
        <v>106</v>
      </c>
      <c r="D214" s="14">
        <v>37079.541666666664</v>
      </c>
    </row>
    <row r="215" spans="1:4" x14ac:dyDescent="0.25">
      <c r="A215" s="14">
        <v>6</v>
      </c>
      <c r="B215" s="14" t="s">
        <v>105</v>
      </c>
      <c r="C215" s="14" t="s">
        <v>106</v>
      </c>
      <c r="D215" s="14">
        <v>37668.416666666664</v>
      </c>
    </row>
    <row r="216" spans="1:4" x14ac:dyDescent="0.25">
      <c r="A216" s="14">
        <v>5</v>
      </c>
      <c r="B216" s="14" t="s">
        <v>94</v>
      </c>
      <c r="C216" s="14" t="s">
        <v>109</v>
      </c>
      <c r="D216" s="14">
        <v>37748.916666666664</v>
      </c>
    </row>
    <row r="217" spans="1:4" x14ac:dyDescent="0.25">
      <c r="A217" s="14">
        <v>5</v>
      </c>
      <c r="B217" s="14" t="s">
        <v>95</v>
      </c>
      <c r="C217" s="14" t="s">
        <v>109</v>
      </c>
      <c r="D217" s="14">
        <v>37448.958333333336</v>
      </c>
    </row>
    <row r="218" spans="1:4" x14ac:dyDescent="0.25">
      <c r="A218" s="14">
        <v>5</v>
      </c>
      <c r="B218" s="14" t="s">
        <v>96</v>
      </c>
      <c r="C218" s="14" t="s">
        <v>109</v>
      </c>
      <c r="D218" s="14">
        <v>36802.375</v>
      </c>
    </row>
    <row r="219" spans="1:4" x14ac:dyDescent="0.25">
      <c r="A219" s="14">
        <v>5</v>
      </c>
      <c r="B219" s="14" t="s">
        <v>97</v>
      </c>
      <c r="C219" s="14" t="s">
        <v>108</v>
      </c>
      <c r="D219" s="14">
        <v>36651.666666666664</v>
      </c>
    </row>
    <row r="220" spans="1:4" x14ac:dyDescent="0.25">
      <c r="A220" s="14">
        <v>5</v>
      </c>
      <c r="B220" s="14" t="s">
        <v>98</v>
      </c>
      <c r="C220" s="14" t="s">
        <v>108</v>
      </c>
      <c r="D220" s="14">
        <v>36568.208333333336</v>
      </c>
    </row>
    <row r="221" spans="1:4" x14ac:dyDescent="0.25">
      <c r="A221" s="14">
        <v>5</v>
      </c>
      <c r="B221" s="14" t="s">
        <v>99</v>
      </c>
      <c r="C221" s="14" t="s">
        <v>108</v>
      </c>
      <c r="D221" s="14">
        <v>35841.791666666664</v>
      </c>
    </row>
    <row r="222" spans="1:4" x14ac:dyDescent="0.25">
      <c r="A222" s="14">
        <v>5</v>
      </c>
      <c r="B222" s="14" t="s">
        <v>100</v>
      </c>
      <c r="C222" s="14" t="s">
        <v>107</v>
      </c>
      <c r="D222" s="14">
        <v>34993</v>
      </c>
    </row>
    <row r="223" spans="1:4" x14ac:dyDescent="0.25">
      <c r="A223" s="14">
        <v>5</v>
      </c>
      <c r="B223" s="14" t="s">
        <v>101</v>
      </c>
      <c r="C223" s="14" t="s">
        <v>107</v>
      </c>
      <c r="D223" s="14">
        <v>33626.708333333336</v>
      </c>
    </row>
    <row r="224" spans="1:4" x14ac:dyDescent="0.25">
      <c r="A224" s="14">
        <v>5</v>
      </c>
      <c r="B224" s="14" t="s">
        <v>102</v>
      </c>
      <c r="C224" s="14" t="s">
        <v>107</v>
      </c>
      <c r="D224" s="14">
        <v>31980.833333333332</v>
      </c>
    </row>
    <row r="225" spans="1:4" x14ac:dyDescent="0.25">
      <c r="A225" s="14">
        <v>5</v>
      </c>
      <c r="B225" s="14" t="s">
        <v>103</v>
      </c>
      <c r="C225" s="14" t="s">
        <v>106</v>
      </c>
      <c r="D225" s="14">
        <v>30133.25</v>
      </c>
    </row>
    <row r="226" spans="1:4" x14ac:dyDescent="0.25">
      <c r="A226" s="14">
        <v>5</v>
      </c>
      <c r="B226" s="14" t="s">
        <v>104</v>
      </c>
      <c r="C226" s="14" t="s">
        <v>106</v>
      </c>
      <c r="D226" s="14">
        <v>27389</v>
      </c>
    </row>
    <row r="227" spans="1:4" x14ac:dyDescent="0.25">
      <c r="A227" s="14">
        <v>5</v>
      </c>
      <c r="B227" s="14" t="s">
        <v>105</v>
      </c>
      <c r="C227" s="14" t="s">
        <v>106</v>
      </c>
      <c r="D227" s="14">
        <v>24264.666666666668</v>
      </c>
    </row>
    <row r="228" spans="1:4" x14ac:dyDescent="0.25">
      <c r="A228" s="14">
        <v>4</v>
      </c>
      <c r="B228" s="14" t="s">
        <v>94</v>
      </c>
      <c r="C228" s="14" t="s">
        <v>109</v>
      </c>
      <c r="D228" s="14">
        <v>22186</v>
      </c>
    </row>
    <row r="229" spans="1:4" x14ac:dyDescent="0.25">
      <c r="A229" s="14">
        <v>4</v>
      </c>
      <c r="B229" s="14" t="s">
        <v>95</v>
      </c>
      <c r="C229" s="14" t="s">
        <v>109</v>
      </c>
      <c r="D229" s="14">
        <v>20933.708333333332</v>
      </c>
    </row>
    <row r="230" spans="1:4" x14ac:dyDescent="0.25">
      <c r="A230" s="14">
        <v>4</v>
      </c>
      <c r="B230" s="14" t="s">
        <v>96</v>
      </c>
      <c r="C230" s="14" t="s">
        <v>109</v>
      </c>
      <c r="D230" s="14">
        <v>20057.875</v>
      </c>
    </row>
    <row r="231" spans="1:4" x14ac:dyDescent="0.25">
      <c r="A231" s="14">
        <v>4</v>
      </c>
      <c r="B231" s="14" t="s">
        <v>97</v>
      </c>
      <c r="C231" s="14" t="s">
        <v>108</v>
      </c>
      <c r="D231" s="14">
        <v>18948.916666666668</v>
      </c>
    </row>
    <row r="232" spans="1:4" x14ac:dyDescent="0.25">
      <c r="A232" s="14">
        <v>4</v>
      </c>
      <c r="B232" s="14" t="s">
        <v>98</v>
      </c>
      <c r="C232" s="14" t="s">
        <v>108</v>
      </c>
      <c r="D232" s="14">
        <v>17871.958333333332</v>
      </c>
    </row>
    <row r="233" spans="1:4" x14ac:dyDescent="0.25">
      <c r="A233" s="14">
        <v>4</v>
      </c>
      <c r="B233" s="14" t="s">
        <v>99</v>
      </c>
      <c r="C233" s="14" t="s">
        <v>108</v>
      </c>
      <c r="D233" s="14">
        <v>17570.083333333332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F97B-11A1-48ED-90BD-8731C95226FB}">
  <dimension ref="A1:T241"/>
  <sheetViews>
    <sheetView topLeftCell="B1" zoomScale="52" workbookViewId="0">
      <selection activeCell="V30" sqref="V30"/>
    </sheetView>
  </sheetViews>
  <sheetFormatPr baseColWidth="10" defaultRowHeight="13.2" x14ac:dyDescent="0.25"/>
  <cols>
    <col min="3" max="3" width="22.6640625" customWidth="1"/>
    <col min="20" max="20" width="12.33203125" bestFit="1" customWidth="1"/>
  </cols>
  <sheetData>
    <row r="1" spans="1:13" x14ac:dyDescent="0.25">
      <c r="A1" t="s">
        <v>80</v>
      </c>
      <c r="B1" t="s">
        <v>81</v>
      </c>
      <c r="C1" t="s">
        <v>126</v>
      </c>
      <c r="D1" t="s">
        <v>125</v>
      </c>
      <c r="E1" t="s">
        <v>4</v>
      </c>
      <c r="F1" s="19" t="s">
        <v>1</v>
      </c>
      <c r="G1" s="22" t="s">
        <v>126</v>
      </c>
      <c r="H1" s="22" t="s">
        <v>125</v>
      </c>
      <c r="I1" s="22" t="s">
        <v>4</v>
      </c>
      <c r="J1" s="23" t="s">
        <v>1</v>
      </c>
      <c r="K1" s="23" t="s">
        <v>145</v>
      </c>
    </row>
    <row r="2" spans="1:13" x14ac:dyDescent="0.25">
      <c r="A2">
        <v>25</v>
      </c>
      <c r="B2" t="s">
        <v>109</v>
      </c>
      <c r="C2" s="21">
        <v>59066.416666666664</v>
      </c>
      <c r="D2" s="21">
        <f>'Análisis tendencia'!J11</f>
        <v>29620.416666666668</v>
      </c>
      <c r="E2">
        <f>'Análisis tendencia'!K11</f>
        <v>29446</v>
      </c>
      <c r="F2" s="20">
        <v>128.15199999999999</v>
      </c>
      <c r="G2" s="20">
        <f>LN(C2)</f>
        <v>10.986417795970407</v>
      </c>
      <c r="H2" s="20">
        <f t="shared" ref="H2:J2" si="0">LN(D2)</f>
        <v>10.296219154794647</v>
      </c>
      <c r="I2" s="20">
        <f t="shared" si="0"/>
        <v>10.290313356425354</v>
      </c>
      <c r="J2" s="20">
        <f t="shared" si="0"/>
        <v>4.8532170593991824</v>
      </c>
      <c r="L2" s="20">
        <f>SLOPE(G2:G79,J2:J79)</f>
        <v>1.0718369235500866</v>
      </c>
      <c r="M2" t="s">
        <v>127</v>
      </c>
    </row>
    <row r="3" spans="1:13" x14ac:dyDescent="0.25">
      <c r="A3">
        <v>25</v>
      </c>
      <c r="B3" t="s">
        <v>108</v>
      </c>
      <c r="C3" s="21">
        <v>177374.33333333331</v>
      </c>
      <c r="D3" s="21">
        <f ca="1">SUM(OFFSET('Análisis tendencia'!$J$12, (ROW(A1)-1)*3, 0, 3, 1))</f>
        <v>89029.791666666657</v>
      </c>
      <c r="E3" s="21">
        <f ca="1">SUM(OFFSET('Análisis tendencia'!$K$12, (ROW(A1)-1)*3, 0, 3, 1))</f>
        <v>88344.541666666672</v>
      </c>
      <c r="F3" s="20">
        <v>123.1465</v>
      </c>
      <c r="G3" s="20">
        <f t="shared" ref="G3:G66" si="1">LN(C3)</f>
        <v>12.086017655939894</v>
      </c>
      <c r="H3" s="20">
        <f t="shared" ref="H3:H66" ca="1" si="2">LN(D3)</f>
        <v>11.396726330529784</v>
      </c>
      <c r="I3" s="20">
        <f t="shared" ref="I3:I66" ca="1" si="3">LN(E3)</f>
        <v>11.388999695043255</v>
      </c>
      <c r="J3" s="20">
        <f t="shared" ref="J3:J66" si="4">LN(F3)</f>
        <v>4.8133747035374199</v>
      </c>
    </row>
    <row r="4" spans="1:13" x14ac:dyDescent="0.25">
      <c r="A4">
        <v>25</v>
      </c>
      <c r="B4" t="s">
        <v>107</v>
      </c>
      <c r="C4" s="21">
        <v>177464.29166666666</v>
      </c>
      <c r="D4" s="21">
        <f ca="1">SUM(OFFSET('Análisis tendencia'!$J$12, (ROW(A2)-1)*3, 0, 3, 1))</f>
        <v>89067.833333333328</v>
      </c>
      <c r="E4" s="21">
        <f ca="1">SUM(OFFSET('Análisis tendencia'!$K$12, (ROW(A2)-1)*3, 0, 3, 1))</f>
        <v>88396.458333333343</v>
      </c>
      <c r="F4" s="20">
        <v>124.23480000000001</v>
      </c>
      <c r="G4" s="20">
        <f t="shared" si="1"/>
        <v>12.086524693950542</v>
      </c>
      <c r="H4" s="20">
        <f t="shared" ca="1" si="2"/>
        <v>11.397153530693124</v>
      </c>
      <c r="I4" s="20">
        <f t="shared" ca="1" si="3"/>
        <v>11.389587183720582</v>
      </c>
      <c r="J4" s="20">
        <f t="shared" si="4"/>
        <v>4.8221733234892996</v>
      </c>
    </row>
    <row r="5" spans="1:13" x14ac:dyDescent="0.25">
      <c r="A5">
        <v>25</v>
      </c>
      <c r="B5" t="s">
        <v>106</v>
      </c>
      <c r="C5" s="21">
        <v>176505.45833333334</v>
      </c>
      <c r="D5" s="21">
        <f ca="1">SUM(OFFSET('Análisis tendencia'!$J$12, (ROW(A3)-1)*3, 0, 3, 1))</f>
        <v>88522.333333333343</v>
      </c>
      <c r="E5" s="21">
        <f ca="1">SUM(OFFSET('Análisis tendencia'!$K$12, (ROW(A3)-1)*3, 0, 3, 1))</f>
        <v>87983.125</v>
      </c>
      <c r="F5" s="20">
        <v>118.64230000000001</v>
      </c>
      <c r="G5" s="20">
        <f t="shared" si="1"/>
        <v>12.081107080278629</v>
      </c>
      <c r="H5" s="20">
        <f t="shared" ca="1" si="2"/>
        <v>11.391010153209058</v>
      </c>
      <c r="I5" s="20">
        <f t="shared" ca="1" si="3"/>
        <v>11.384900313708146</v>
      </c>
      <c r="J5" s="20">
        <f t="shared" si="4"/>
        <v>4.7761130840207251</v>
      </c>
      <c r="K5" s="18">
        <f>+LN(SUM(C2:C5))</f>
        <v>13.288573336663102</v>
      </c>
    </row>
    <row r="6" spans="1:13" x14ac:dyDescent="0.25">
      <c r="A6">
        <v>24</v>
      </c>
      <c r="B6" t="s">
        <v>109</v>
      </c>
      <c r="C6" s="21">
        <v>175159.125</v>
      </c>
      <c r="D6" s="21">
        <f ca="1">SUM(OFFSET('Análisis tendencia'!$J$12, (ROW(A4)-1)*3, 0, 3, 1))</f>
        <v>87812.125</v>
      </c>
      <c r="E6" s="21">
        <f ca="1">SUM(OFFSET('Análisis tendencia'!$K$12, (ROW(A4)-1)*3, 0, 3, 1))</f>
        <v>87347</v>
      </c>
      <c r="F6" s="20">
        <v>124.6174</v>
      </c>
      <c r="G6" s="20">
        <f t="shared" si="1"/>
        <v>12.07345012547011</v>
      </c>
      <c r="H6" s="20">
        <f t="shared" ca="1" si="2"/>
        <v>11.38295486803845</v>
      </c>
      <c r="I6" s="20">
        <f t="shared" ca="1" si="3"/>
        <v>11.377643970381687</v>
      </c>
      <c r="J6" s="20">
        <f t="shared" si="4"/>
        <v>4.8252482434736201</v>
      </c>
      <c r="K6" s="18">
        <f t="shared" ref="K6:K69" si="5">+LN(SUM(C3:C6))</f>
        <v>13.468083022261778</v>
      </c>
    </row>
    <row r="7" spans="1:13" x14ac:dyDescent="0.25">
      <c r="A7">
        <v>24</v>
      </c>
      <c r="B7" t="s">
        <v>108</v>
      </c>
      <c r="C7" s="21">
        <v>173406.875</v>
      </c>
      <c r="D7" s="21">
        <f ca="1">SUM(OFFSET('Análisis tendencia'!$J$12, (ROW(A5)-1)*3, 0, 3, 1))</f>
        <v>86807.208333333343</v>
      </c>
      <c r="E7" s="21">
        <f ca="1">SUM(OFFSET('Análisis tendencia'!$K$12, (ROW(A5)-1)*3, 0, 3, 1))</f>
        <v>86599.666666666672</v>
      </c>
      <c r="F7" s="20">
        <v>120.1353</v>
      </c>
      <c r="G7" s="20">
        <f t="shared" si="1"/>
        <v>12.063395990754834</v>
      </c>
      <c r="H7" s="20">
        <f t="shared" ca="1" si="2"/>
        <v>11.37144494251527</v>
      </c>
      <c r="I7" s="20">
        <f t="shared" ca="1" si="3"/>
        <v>11.369051245428414</v>
      </c>
      <c r="J7" s="20">
        <f t="shared" si="4"/>
        <v>4.7886186076312978</v>
      </c>
      <c r="K7" s="18">
        <f t="shared" si="5"/>
        <v>13.462451568574917</v>
      </c>
    </row>
    <row r="8" spans="1:13" x14ac:dyDescent="0.25">
      <c r="A8">
        <v>24</v>
      </c>
      <c r="B8" t="s">
        <v>107</v>
      </c>
      <c r="C8" s="21">
        <v>171539.79166666669</v>
      </c>
      <c r="D8" s="21">
        <f ca="1">SUM(OFFSET('Análisis tendencia'!$J$12, (ROW(A6)-1)*3, 0, 3, 1))</f>
        <v>85984.208333333328</v>
      </c>
      <c r="E8" s="21">
        <f ca="1">SUM(OFFSET('Análisis tendencia'!$K$12, (ROW(A6)-1)*3, 0, 3, 1))</f>
        <v>85555.583333333328</v>
      </c>
      <c r="F8" s="20">
        <v>121.21429999999999</v>
      </c>
      <c r="G8" s="20">
        <f t="shared" si="1"/>
        <v>12.052570540055315</v>
      </c>
      <c r="H8" s="20">
        <f t="shared" ca="1" si="2"/>
        <v>11.361918934343681</v>
      </c>
      <c r="I8" s="20">
        <f t="shared" ca="1" si="3"/>
        <v>11.356921541168919</v>
      </c>
      <c r="J8" s="20">
        <f t="shared" si="4"/>
        <v>4.7975600534739993</v>
      </c>
      <c r="K8" s="18">
        <f t="shared" si="5"/>
        <v>13.45398278665443</v>
      </c>
    </row>
    <row r="9" spans="1:13" x14ac:dyDescent="0.25">
      <c r="A9">
        <v>24</v>
      </c>
      <c r="B9" t="s">
        <v>106</v>
      </c>
      <c r="C9" s="21">
        <v>169796.375</v>
      </c>
      <c r="D9" s="21">
        <f ca="1">SUM(OFFSET('Análisis tendencia'!$J$12, (ROW(A7)-1)*3, 0, 3, 1))</f>
        <v>85273.083333333343</v>
      </c>
      <c r="E9" s="21">
        <f ca="1">SUM(OFFSET('Análisis tendencia'!$K$12, (ROW(A7)-1)*3, 0, 3, 1))</f>
        <v>84523.291666666672</v>
      </c>
      <c r="F9" s="20">
        <v>115.723</v>
      </c>
      <c r="G9" s="20">
        <f t="shared" si="1"/>
        <v>12.042355203986034</v>
      </c>
      <c r="H9" s="20">
        <f t="shared" ca="1" si="2"/>
        <v>11.35361413073209</v>
      </c>
      <c r="I9" s="20">
        <f t="shared" ca="1" si="3"/>
        <v>11.344782416388899</v>
      </c>
      <c r="J9" s="20">
        <f t="shared" si="4"/>
        <v>4.7511994044175934</v>
      </c>
      <c r="K9" s="18">
        <f t="shared" si="5"/>
        <v>13.444305079081039</v>
      </c>
    </row>
    <row r="10" spans="1:13" x14ac:dyDescent="0.25">
      <c r="A10">
        <v>23</v>
      </c>
      <c r="B10" t="s">
        <v>109</v>
      </c>
      <c r="C10" s="21">
        <v>169009.125</v>
      </c>
      <c r="D10" s="21">
        <f ca="1">SUM(OFFSET('Análisis tendencia'!$J$12, (ROW(A8)-1)*3, 0, 3, 1))</f>
        <v>84905.125</v>
      </c>
      <c r="E10" s="21">
        <f ca="1">SUM(OFFSET('Análisis tendencia'!$K$12, (ROW(A8)-1)*3, 0, 3, 1))</f>
        <v>84104</v>
      </c>
      <c r="F10" s="20">
        <v>120.16630000000001</v>
      </c>
      <c r="G10" s="20">
        <f t="shared" si="1"/>
        <v>12.037707986530423</v>
      </c>
      <c r="H10" s="20">
        <f t="shared" ca="1" si="2"/>
        <v>11.34928973561299</v>
      </c>
      <c r="I10" s="20">
        <f t="shared" ca="1" si="3"/>
        <v>11.339809407255666</v>
      </c>
      <c r="J10" s="20">
        <f t="shared" si="4"/>
        <v>4.7888766167346244</v>
      </c>
      <c r="K10" s="18">
        <f t="shared" si="5"/>
        <v>13.43535080151282</v>
      </c>
    </row>
    <row r="11" spans="1:13" x14ac:dyDescent="0.25">
      <c r="A11">
        <v>23</v>
      </c>
      <c r="B11" t="s">
        <v>108</v>
      </c>
      <c r="C11" s="21">
        <v>169681.75</v>
      </c>
      <c r="D11" s="21">
        <f ca="1">SUM(OFFSET('Análisis tendencia'!$J$12, (ROW(A9)-1)*3, 0, 3, 1))</f>
        <v>85295.166666666657</v>
      </c>
      <c r="E11" s="21">
        <f ca="1">SUM(OFFSET('Análisis tendencia'!$K$12, (ROW(A9)-1)*3, 0, 3, 1))</f>
        <v>84386.583333333328</v>
      </c>
      <c r="F11" s="20">
        <v>115.7636</v>
      </c>
      <c r="G11" s="20">
        <f t="shared" si="1"/>
        <v>12.041679902716734</v>
      </c>
      <c r="H11" s="20">
        <f t="shared" ca="1" si="2"/>
        <v>11.353873069115485</v>
      </c>
      <c r="I11" s="20">
        <f t="shared" ca="1" si="3"/>
        <v>11.343163702702869</v>
      </c>
      <c r="J11" s="20">
        <f t="shared" si="4"/>
        <v>4.7515501806648253</v>
      </c>
      <c r="K11" s="18">
        <f t="shared" si="5"/>
        <v>13.429887843518459</v>
      </c>
    </row>
    <row r="12" spans="1:13" x14ac:dyDescent="0.25">
      <c r="A12">
        <v>23</v>
      </c>
      <c r="B12" t="s">
        <v>107</v>
      </c>
      <c r="C12" s="21">
        <v>172825.54166666666</v>
      </c>
      <c r="D12" s="21">
        <f ca="1">SUM(OFFSET('Análisis tendencia'!$J$12, (ROW(A10)-1)*3, 0, 3, 1))</f>
        <v>86681.375</v>
      </c>
      <c r="E12" s="21">
        <f ca="1">SUM(OFFSET('Análisis tendencia'!$K$12, (ROW(A10)-1)*3, 0, 3, 1))</f>
        <v>86144.166666666672</v>
      </c>
      <c r="F12" s="20">
        <v>116.4037</v>
      </c>
      <c r="G12" s="20">
        <f t="shared" si="1"/>
        <v>12.060037935000175</v>
      </c>
      <c r="H12" s="20">
        <f t="shared" ca="1" si="2"/>
        <v>11.369994318468642</v>
      </c>
      <c r="I12" s="20">
        <f t="shared" ca="1" si="3"/>
        <v>11.363777528307397</v>
      </c>
      <c r="J12" s="20">
        <f t="shared" si="4"/>
        <v>4.7570643217337238</v>
      </c>
      <c r="K12" s="18">
        <f t="shared" si="5"/>
        <v>13.431776791965904</v>
      </c>
    </row>
    <row r="13" spans="1:13" x14ac:dyDescent="0.25">
      <c r="A13">
        <v>23</v>
      </c>
      <c r="B13" t="s">
        <v>106</v>
      </c>
      <c r="C13" s="21">
        <v>173036.125</v>
      </c>
      <c r="D13" s="21">
        <f ca="1">SUM(OFFSET('Análisis tendencia'!$J$12, (ROW(A11)-1)*3, 0, 3, 1))</f>
        <v>86837.666666666657</v>
      </c>
      <c r="E13" s="21">
        <f ca="1">SUM(OFFSET('Análisis tendencia'!$K$12, (ROW(A11)-1)*3, 0, 3, 1))</f>
        <v>86198.458333333343</v>
      </c>
      <c r="F13" s="20">
        <v>112.2953</v>
      </c>
      <c r="G13" s="20">
        <f t="shared" si="1"/>
        <v>12.061255666709995</v>
      </c>
      <c r="H13" s="20">
        <f t="shared" ca="1" si="2"/>
        <v>11.371795754292995</v>
      </c>
      <c r="I13" s="20">
        <f t="shared" ca="1" si="3"/>
        <v>11.364407571727735</v>
      </c>
      <c r="J13" s="20">
        <f t="shared" si="4"/>
        <v>4.7211320086869142</v>
      </c>
      <c r="K13" s="18">
        <f t="shared" si="5"/>
        <v>13.436520679956429</v>
      </c>
    </row>
    <row r="14" spans="1:13" x14ac:dyDescent="0.25">
      <c r="A14">
        <v>22</v>
      </c>
      <c r="B14" t="s">
        <v>109</v>
      </c>
      <c r="C14" s="21">
        <v>172401.08333333334</v>
      </c>
      <c r="D14" s="21">
        <f ca="1">SUM(OFFSET('Análisis tendencia'!$J$12, (ROW(A12)-1)*3, 0, 3, 1))</f>
        <v>86665.041666666672</v>
      </c>
      <c r="E14" s="21">
        <f ca="1">SUM(OFFSET('Análisis tendencia'!$K$12, (ROW(A12)-1)*3, 0, 3, 1))</f>
        <v>85736.041666666672</v>
      </c>
      <c r="F14" s="20">
        <v>117.7441</v>
      </c>
      <c r="G14" s="20">
        <f t="shared" si="1"/>
        <v>12.057578921028027</v>
      </c>
      <c r="H14" s="20">
        <f t="shared" ca="1" si="2"/>
        <v>11.369805871153771</v>
      </c>
      <c r="I14" s="20">
        <f t="shared" ca="1" si="3"/>
        <v>11.359028572380709</v>
      </c>
      <c r="J14" s="20">
        <f t="shared" si="4"/>
        <v>4.7685136254840588</v>
      </c>
      <c r="K14" s="18">
        <f t="shared" si="5"/>
        <v>13.441463445056943</v>
      </c>
    </row>
    <row r="15" spans="1:13" x14ac:dyDescent="0.25">
      <c r="A15">
        <v>22</v>
      </c>
      <c r="B15" t="s">
        <v>108</v>
      </c>
      <c r="C15" s="21">
        <v>164647.45833333334</v>
      </c>
      <c r="D15" s="21">
        <f ca="1">SUM(OFFSET('Análisis tendencia'!$J$12, (ROW(A13)-1)*3, 0, 3, 1))</f>
        <v>82809.875</v>
      </c>
      <c r="E15" s="21">
        <f ca="1">SUM(OFFSET('Análisis tendencia'!$K$12, (ROW(A13)-1)*3, 0, 3, 1))</f>
        <v>81837.583333333328</v>
      </c>
      <c r="F15" s="20">
        <v>114.0324</v>
      </c>
      <c r="G15" s="20">
        <f t="shared" si="1"/>
        <v>12.011561850900263</v>
      </c>
      <c r="H15" s="20">
        <f t="shared" ca="1" si="2"/>
        <v>11.324302596547074</v>
      </c>
      <c r="I15" s="20">
        <f t="shared" ca="1" si="3"/>
        <v>11.31249187102692</v>
      </c>
      <c r="J15" s="20">
        <f t="shared" si="4"/>
        <v>4.7364826185406503</v>
      </c>
      <c r="K15" s="18">
        <f t="shared" si="5"/>
        <v>13.434118663341382</v>
      </c>
    </row>
    <row r="16" spans="1:13" x14ac:dyDescent="0.25">
      <c r="A16">
        <v>22</v>
      </c>
      <c r="B16" t="s">
        <v>107</v>
      </c>
      <c r="C16" s="21">
        <v>147673.75</v>
      </c>
      <c r="D16" s="21">
        <f ca="1">SUM(OFFSET('Análisis tendencia'!$J$12, (ROW(A14)-1)*3, 0, 3, 1))</f>
        <v>74458.666666666672</v>
      </c>
      <c r="E16" s="21">
        <f ca="1">SUM(OFFSET('Análisis tendencia'!$K$12, (ROW(A14)-1)*3, 0, 3, 1))</f>
        <v>73215.083333333343</v>
      </c>
      <c r="F16" s="20">
        <v>114.3184</v>
      </c>
      <c r="G16" s="20">
        <f t="shared" si="1"/>
        <v>11.902760727606008</v>
      </c>
      <c r="H16" s="20">
        <f t="shared" ca="1" si="2"/>
        <v>11.21799944056032</v>
      </c>
      <c r="I16" s="20">
        <f t="shared" ca="1" si="3"/>
        <v>11.201156735188988</v>
      </c>
      <c r="J16" s="20">
        <f t="shared" si="4"/>
        <v>4.7389875377224104</v>
      </c>
      <c r="K16" s="18">
        <f t="shared" si="5"/>
        <v>13.396592994969156</v>
      </c>
    </row>
    <row r="17" spans="1:18" x14ac:dyDescent="0.25">
      <c r="A17">
        <v>22</v>
      </c>
      <c r="B17" t="s">
        <v>106</v>
      </c>
      <c r="C17" s="21">
        <v>126735.66666666666</v>
      </c>
      <c r="D17" s="21">
        <f ca="1">SUM(OFFSET('Análisis tendencia'!$J$12, (ROW(A15)-1)*3, 0, 3, 1))</f>
        <v>64200.583333333328</v>
      </c>
      <c r="E17" s="21">
        <f ca="1">SUM(OFFSET('Análisis tendencia'!$K$12, (ROW(A15)-1)*3, 0, 3, 1))</f>
        <v>62535.083333333328</v>
      </c>
      <c r="F17" s="20">
        <v>107.82210000000001</v>
      </c>
      <c r="G17" s="20">
        <f t="shared" si="1"/>
        <v>11.74985883156131</v>
      </c>
      <c r="H17" s="20">
        <f t="shared" ca="1" si="2"/>
        <v>11.069767575825766</v>
      </c>
      <c r="I17" s="20">
        <f t="shared" ca="1" si="3"/>
        <v>11.043483011569204</v>
      </c>
      <c r="J17" s="20">
        <f t="shared" si="4"/>
        <v>4.6804826467398044</v>
      </c>
      <c r="K17" s="18">
        <f t="shared" si="5"/>
        <v>13.323601480042395</v>
      </c>
    </row>
    <row r="18" spans="1:18" x14ac:dyDescent="0.25">
      <c r="A18">
        <v>19</v>
      </c>
      <c r="B18" t="s">
        <v>109</v>
      </c>
      <c r="C18" s="21">
        <v>104660.625</v>
      </c>
      <c r="D18" s="21">
        <f ca="1">SUM(OFFSET('Análisis tendencia'!$J$12, (ROW(A16)-1)*3, 0, 3, 1))</f>
        <v>52853.541666666672</v>
      </c>
      <c r="E18" s="21">
        <f ca="1">SUM(OFFSET('Análisis tendencia'!$K$12, (ROW(A16)-1)*3, 0, 3, 1))</f>
        <v>51807.083333333336</v>
      </c>
      <c r="F18" s="20">
        <v>115.3974</v>
      </c>
      <c r="G18" s="20">
        <f t="shared" si="1"/>
        <v>11.558478251626312</v>
      </c>
      <c r="H18" s="20">
        <f t="shared" ca="1" si="2"/>
        <v>10.875280002613467</v>
      </c>
      <c r="I18" s="20">
        <f t="shared" ca="1" si="3"/>
        <v>10.855282162785725</v>
      </c>
      <c r="J18" s="20">
        <f t="shared" si="4"/>
        <v>4.7483818234908979</v>
      </c>
      <c r="K18" s="18">
        <f t="shared" si="5"/>
        <v>13.206185089483784</v>
      </c>
    </row>
    <row r="19" spans="1:18" x14ac:dyDescent="0.25">
      <c r="A19">
        <v>19</v>
      </c>
      <c r="B19" t="s">
        <v>108</v>
      </c>
      <c r="C19" s="21">
        <v>89397</v>
      </c>
      <c r="D19" s="21">
        <f ca="1">SUM(OFFSET('Análisis tendencia'!$J$12, (ROW(A17)-1)*3, 0, 3, 1))</f>
        <v>45127.958333333328</v>
      </c>
      <c r="E19" s="21">
        <f ca="1">SUM(OFFSET('Análisis tendencia'!$K$12, (ROW(A17)-1)*3, 0, 3, 1))</f>
        <v>44269.041666666664</v>
      </c>
      <c r="F19" s="20">
        <v>111.5926</v>
      </c>
      <c r="G19" s="20">
        <f t="shared" si="1"/>
        <v>11.400842403551575</v>
      </c>
      <c r="H19" s="20">
        <f t="shared" ca="1" si="2"/>
        <v>10.717257252119735</v>
      </c>
      <c r="I19" s="20">
        <f t="shared" ca="1" si="3"/>
        <v>10.698040878025571</v>
      </c>
      <c r="J19" s="20">
        <f t="shared" si="4"/>
        <v>4.714854739504994</v>
      </c>
      <c r="K19" s="18">
        <f t="shared" si="5"/>
        <v>13.057221029555652</v>
      </c>
    </row>
    <row r="20" spans="1:18" x14ac:dyDescent="0.25">
      <c r="A20">
        <v>19</v>
      </c>
      <c r="B20" t="s">
        <v>107</v>
      </c>
      <c r="C20" s="21">
        <v>88188.208333333343</v>
      </c>
      <c r="D20" s="21">
        <f ca="1">SUM(OFFSET('Análisis tendencia'!$J$12, (ROW(A18)-1)*3, 0, 3, 1))</f>
        <v>44398.833333333328</v>
      </c>
      <c r="E20" s="21">
        <f ca="1">SUM(OFFSET('Análisis tendencia'!$K$12, (ROW(A18)-1)*3, 0, 3, 1))</f>
        <v>43789.375</v>
      </c>
      <c r="F20" s="20">
        <v>113.8167</v>
      </c>
      <c r="G20" s="20">
        <f t="shared" si="1"/>
        <v>11.387228540691426</v>
      </c>
      <c r="H20" s="20">
        <f t="shared" ca="1" si="2"/>
        <v>10.700968471798813</v>
      </c>
      <c r="I20" s="20">
        <f t="shared" ca="1" si="3"/>
        <v>10.687146487028597</v>
      </c>
      <c r="J20" s="20">
        <f t="shared" si="4"/>
        <v>4.7345892596075938</v>
      </c>
      <c r="K20" s="18">
        <f t="shared" si="5"/>
        <v>12.92142520172809</v>
      </c>
    </row>
    <row r="21" spans="1:18" x14ac:dyDescent="0.25">
      <c r="A21">
        <v>19</v>
      </c>
      <c r="B21" t="s">
        <v>106</v>
      </c>
      <c r="C21" s="21">
        <v>98401</v>
      </c>
      <c r="D21" s="21">
        <f ca="1">SUM(OFFSET('Análisis tendencia'!$J$12, (ROW(A19)-1)*3, 0, 3, 1))</f>
        <v>49345</v>
      </c>
      <c r="E21" s="21">
        <f ca="1">SUM(OFFSET('Análisis tendencia'!$K$12, (ROW(A19)-1)*3, 0, 3, 1))</f>
        <v>49056</v>
      </c>
      <c r="F21" s="20">
        <v>108.3292</v>
      </c>
      <c r="G21" s="20">
        <f t="shared" si="1"/>
        <v>11.496806245590331</v>
      </c>
      <c r="H21" s="20">
        <f t="shared" ca="1" si="2"/>
        <v>10.806591722606107</v>
      </c>
      <c r="I21" s="20">
        <f t="shared" ca="1" si="3"/>
        <v>10.800717781671541</v>
      </c>
      <c r="J21" s="20">
        <f t="shared" si="4"/>
        <v>4.6851747390875973</v>
      </c>
      <c r="K21" s="18">
        <f t="shared" si="5"/>
        <v>12.849627277596467</v>
      </c>
    </row>
    <row r="22" spans="1:18" x14ac:dyDescent="0.25">
      <c r="A22">
        <v>18</v>
      </c>
      <c r="B22" t="s">
        <v>109</v>
      </c>
      <c r="C22" s="21">
        <v>111859.95833333333</v>
      </c>
      <c r="D22" s="21">
        <f ca="1">SUM(OFFSET('Análisis tendencia'!$J$12, (ROW(A20)-1)*3, 0, 3, 1))</f>
        <v>56178.791666666657</v>
      </c>
      <c r="E22" s="21">
        <f ca="1">SUM(OFFSET('Análisis tendencia'!$K$12, (ROW(A20)-1)*3, 0, 3, 1))</f>
        <v>55681.166666666672</v>
      </c>
      <c r="F22" s="20">
        <v>113.729</v>
      </c>
      <c r="G22" s="20">
        <f t="shared" si="1"/>
        <v>11.625002995886089</v>
      </c>
      <c r="H22" s="20">
        <f t="shared" ca="1" si="2"/>
        <v>10.936294592179628</v>
      </c>
      <c r="I22" s="20">
        <f t="shared" ca="1" si="3"/>
        <v>10.927397247853923</v>
      </c>
      <c r="J22" s="20">
        <f t="shared" si="4"/>
        <v>4.7338184254029265</v>
      </c>
      <c r="K22" s="18">
        <f t="shared" si="5"/>
        <v>12.868364062324131</v>
      </c>
    </row>
    <row r="23" spans="1:18" x14ac:dyDescent="0.25">
      <c r="A23">
        <v>18</v>
      </c>
      <c r="B23" t="s">
        <v>108</v>
      </c>
      <c r="C23" s="21">
        <v>119337.79166666669</v>
      </c>
      <c r="D23" s="21">
        <f ca="1">SUM(OFFSET('Análisis tendencia'!$J$12, (ROW(A21)-1)*3, 0, 3, 1))</f>
        <v>60036.208333333343</v>
      </c>
      <c r="E23" s="21">
        <f ca="1">SUM(OFFSET('Análisis tendencia'!$K$12, (ROW(A21)-1)*3, 0, 3, 1))</f>
        <v>59301.583333333343</v>
      </c>
      <c r="F23" s="20">
        <v>109.6224</v>
      </c>
      <c r="G23" s="20">
        <f t="shared" si="1"/>
        <v>11.689713336352044</v>
      </c>
      <c r="H23" s="20">
        <f t="shared" ca="1" si="2"/>
        <v>11.002703131410323</v>
      </c>
      <c r="I23" s="20">
        <f t="shared" ca="1" si="3"/>
        <v>10.990391285022847</v>
      </c>
      <c r="J23" s="20">
        <f t="shared" si="4"/>
        <v>4.6970417331933012</v>
      </c>
      <c r="K23" s="18">
        <f t="shared" si="5"/>
        <v>12.94272691252246</v>
      </c>
    </row>
    <row r="24" spans="1:18" x14ac:dyDescent="0.25">
      <c r="A24">
        <v>18</v>
      </c>
      <c r="B24" t="s">
        <v>107</v>
      </c>
      <c r="C24" s="21">
        <v>120875</v>
      </c>
      <c r="D24" s="21">
        <f ca="1">SUM(OFFSET('Análisis tendencia'!$J$12, (ROW(A22)-1)*3, 0, 3, 1))</f>
        <v>60931.208333333328</v>
      </c>
      <c r="E24" s="21">
        <f ca="1">SUM(OFFSET('Análisis tendencia'!$K$12, (ROW(A22)-1)*3, 0, 3, 1))</f>
        <v>59943.791666666672</v>
      </c>
      <c r="F24" s="20">
        <v>111.76309999999999</v>
      </c>
      <c r="G24" s="20">
        <f t="shared" si="1"/>
        <v>11.702512232755595</v>
      </c>
      <c r="H24" s="20">
        <f t="shared" ca="1" si="2"/>
        <v>11.017500774546528</v>
      </c>
      <c r="I24" s="20">
        <f t="shared" ca="1" si="3"/>
        <v>11.001162596572117</v>
      </c>
      <c r="J24" s="20">
        <f t="shared" si="4"/>
        <v>4.7163814525740362</v>
      </c>
      <c r="K24" s="18">
        <f t="shared" si="5"/>
        <v>13.018055085742395</v>
      </c>
      <c r="M24" s="49" t="s">
        <v>128</v>
      </c>
      <c r="N24" s="50"/>
      <c r="O24" s="50"/>
      <c r="P24" s="50"/>
      <c r="Q24" s="50"/>
      <c r="R24" s="50"/>
    </row>
    <row r="25" spans="1:18" x14ac:dyDescent="0.25">
      <c r="A25">
        <v>18</v>
      </c>
      <c r="B25" t="s">
        <v>106</v>
      </c>
      <c r="C25" s="21">
        <v>115887.79166666669</v>
      </c>
      <c r="D25" s="21">
        <f ca="1">SUM(OFFSET('Análisis tendencia'!$J$12, (ROW(A23)-1)*3, 0, 3, 1))</f>
        <v>58388.75</v>
      </c>
      <c r="E25" s="21">
        <f ca="1">SUM(OFFSET('Análisis tendencia'!$K$12, (ROW(A23)-1)*3, 0, 3, 1))</f>
        <v>57499.041666666657</v>
      </c>
      <c r="F25" s="20">
        <v>105.3824</v>
      </c>
      <c r="G25" s="20">
        <f t="shared" si="1"/>
        <v>11.660377688720757</v>
      </c>
      <c r="H25" s="20">
        <f t="shared" ca="1" si="2"/>
        <v>10.974878513273129</v>
      </c>
      <c r="I25" s="20">
        <f t="shared" ca="1" si="3"/>
        <v>10.959523559979884</v>
      </c>
      <c r="J25" s="20">
        <f t="shared" si="4"/>
        <v>4.6575956392418609</v>
      </c>
      <c r="K25" s="18">
        <f t="shared" si="5"/>
        <v>13.056139258667207</v>
      </c>
    </row>
    <row r="26" spans="1:18" x14ac:dyDescent="0.25">
      <c r="A26">
        <v>17</v>
      </c>
      <c r="B26" t="s">
        <v>109</v>
      </c>
      <c r="C26" s="21">
        <v>109668.66666666666</v>
      </c>
      <c r="D26" s="21">
        <f ca="1">SUM(OFFSET('Análisis tendencia'!$J$12, (ROW(A24)-1)*3, 0, 3, 1))</f>
        <v>55160.583333333328</v>
      </c>
      <c r="E26" s="21">
        <f ca="1">SUM(OFFSET('Análisis tendencia'!$K$12, (ROW(A24)-1)*3, 0, 3, 1))</f>
        <v>54508.083333333343</v>
      </c>
      <c r="F26" s="20">
        <v>110.9135</v>
      </c>
      <c r="G26" s="20">
        <f t="shared" si="1"/>
        <v>11.605218977995172</v>
      </c>
      <c r="H26" s="20">
        <f t="shared" ca="1" si="2"/>
        <v>10.918003907147428</v>
      </c>
      <c r="I26" s="20">
        <f t="shared" ca="1" si="3"/>
        <v>10.906104287696115</v>
      </c>
      <c r="J26" s="20">
        <f t="shared" si="4"/>
        <v>4.7087506182371195</v>
      </c>
      <c r="K26" s="18">
        <f t="shared" si="5"/>
        <v>13.051445618795984</v>
      </c>
    </row>
    <row r="27" spans="1:18" x14ac:dyDescent="0.25">
      <c r="A27">
        <v>17</v>
      </c>
      <c r="B27" t="s">
        <v>108</v>
      </c>
      <c r="C27" s="21">
        <v>109727.33333333334</v>
      </c>
      <c r="D27" s="21">
        <f ca="1">SUM(OFFSET('Análisis tendencia'!$J$12, (ROW(A25)-1)*3, 0, 3, 1))</f>
        <v>55123.5</v>
      </c>
      <c r="E27" s="21">
        <f ca="1">SUM(OFFSET('Análisis tendencia'!$K$12, (ROW(A25)-1)*3, 0, 3, 1))</f>
        <v>54603.833333333336</v>
      </c>
      <c r="F27" s="20">
        <v>107.48909999999999</v>
      </c>
      <c r="G27" s="20">
        <f t="shared" si="1"/>
        <v>11.605753779614755</v>
      </c>
      <c r="H27" s="20">
        <f t="shared" ca="1" si="2"/>
        <v>10.91733140149457</v>
      </c>
      <c r="I27" s="20">
        <f t="shared" ca="1" si="3"/>
        <v>10.907859366838768</v>
      </c>
      <c r="J27" s="20">
        <f t="shared" si="4"/>
        <v>4.6773894470780242</v>
      </c>
      <c r="K27" s="18">
        <f t="shared" si="5"/>
        <v>13.030596255218637</v>
      </c>
    </row>
    <row r="28" spans="1:18" x14ac:dyDescent="0.25">
      <c r="A28">
        <v>17</v>
      </c>
      <c r="B28" t="s">
        <v>107</v>
      </c>
      <c r="C28" s="21">
        <v>109588.125</v>
      </c>
      <c r="D28" s="21">
        <f ca="1">SUM(OFFSET('Análisis tendencia'!$J$12, (ROW(A26)-1)*3, 0, 3, 1))</f>
        <v>55116.708333333343</v>
      </c>
      <c r="E28" s="21">
        <f ca="1">SUM(OFFSET('Análisis tendencia'!$K$12, (ROW(A26)-1)*3, 0, 3, 1))</f>
        <v>54471.416666666672</v>
      </c>
      <c r="F28" s="20">
        <v>109.0386</v>
      </c>
      <c r="G28" s="20">
        <f t="shared" si="1"/>
        <v>11.604484299085779</v>
      </c>
      <c r="H28" s="20">
        <f t="shared" ca="1" si="2"/>
        <v>10.917208185713724</v>
      </c>
      <c r="I28" s="20">
        <f t="shared" ca="1" si="3"/>
        <v>10.905431378239745</v>
      </c>
      <c r="J28" s="20">
        <f t="shared" si="4"/>
        <v>4.6917019479808344</v>
      </c>
      <c r="K28" s="18">
        <f t="shared" si="5"/>
        <v>13.005541692002675</v>
      </c>
    </row>
    <row r="29" spans="1:18" x14ac:dyDescent="0.25">
      <c r="A29">
        <v>17</v>
      </c>
      <c r="B29" t="s">
        <v>106</v>
      </c>
      <c r="C29" s="21">
        <v>107226.875</v>
      </c>
      <c r="D29" s="21">
        <f ca="1">SUM(OFFSET('Análisis tendencia'!$J$12, (ROW(A27)-1)*3, 0, 3, 1))</f>
        <v>54129.875</v>
      </c>
      <c r="E29" s="21">
        <f ca="1">SUM(OFFSET('Análisis tendencia'!$K$12, (ROW(A27)-1)*3, 0, 3, 1))</f>
        <v>53097</v>
      </c>
      <c r="F29" s="20">
        <v>102.7508</v>
      </c>
      <c r="G29" s="20">
        <f t="shared" si="1"/>
        <v>11.582702195825805</v>
      </c>
      <c r="H29" s="20">
        <f t="shared" ca="1" si="2"/>
        <v>10.899141530532861</v>
      </c>
      <c r="I29" s="20">
        <f t="shared" ca="1" si="3"/>
        <v>10.879875708458863</v>
      </c>
      <c r="J29" s="20">
        <f t="shared" si="4"/>
        <v>4.6323066392341117</v>
      </c>
      <c r="K29" s="18">
        <f t="shared" si="5"/>
        <v>12.985881350221707</v>
      </c>
    </row>
    <row r="30" spans="1:18" x14ac:dyDescent="0.25">
      <c r="A30">
        <v>16</v>
      </c>
      <c r="B30" t="s">
        <v>109</v>
      </c>
      <c r="C30" s="21">
        <v>104556.875</v>
      </c>
      <c r="D30" s="21">
        <f ca="1">SUM(OFFSET('Análisis tendencia'!$J$12, (ROW(A28)-1)*3, 0, 3, 1))</f>
        <v>52787.5</v>
      </c>
      <c r="E30" s="21">
        <f ca="1">SUM(OFFSET('Análisis tendencia'!$K$12, (ROW(A28)-1)*3, 0, 3, 1))</f>
        <v>51769.375</v>
      </c>
      <c r="F30" s="20">
        <v>107.5364</v>
      </c>
      <c r="G30" s="20">
        <f t="shared" si="1"/>
        <v>11.557486460705338</v>
      </c>
      <c r="H30" s="20">
        <f t="shared" ca="1" si="2"/>
        <v>10.874029699242199</v>
      </c>
      <c r="I30" s="20">
        <f t="shared" ca="1" si="3"/>
        <v>10.854554037194136</v>
      </c>
      <c r="J30" s="20">
        <f t="shared" si="4"/>
        <v>4.6778293949052632</v>
      </c>
      <c r="K30" s="18">
        <f t="shared" si="5"/>
        <v>12.974093524346005</v>
      </c>
    </row>
    <row r="31" spans="1:18" x14ac:dyDescent="0.25">
      <c r="A31">
        <v>16</v>
      </c>
      <c r="B31" t="s">
        <v>108</v>
      </c>
      <c r="C31" s="21">
        <v>103969.5</v>
      </c>
      <c r="D31" s="21">
        <f ca="1">SUM(OFFSET('Análisis tendencia'!$J$12, (ROW(A29)-1)*3, 0, 3, 1))</f>
        <v>52549.583333333343</v>
      </c>
      <c r="E31" s="21">
        <f ca="1">SUM(OFFSET('Análisis tendencia'!$K$12, (ROW(A29)-1)*3, 0, 3, 1))</f>
        <v>51419.916666666672</v>
      </c>
      <c r="F31" s="20">
        <v>104.4333</v>
      </c>
      <c r="G31" s="20">
        <f t="shared" si="1"/>
        <v>11.55185286588091</v>
      </c>
      <c r="H31" s="20">
        <f t="shared" ca="1" si="2"/>
        <v>10.869512447317113</v>
      </c>
      <c r="I31" s="20">
        <f t="shared" ca="1" si="3"/>
        <v>10.847780860178091</v>
      </c>
      <c r="J31" s="20">
        <f t="shared" si="4"/>
        <v>4.6485485901070938</v>
      </c>
      <c r="K31" s="18">
        <f t="shared" si="5"/>
        <v>12.960647360779845</v>
      </c>
      <c r="M31" s="19" t="s">
        <v>130</v>
      </c>
      <c r="O31" s="18">
        <f>F2</f>
        <v>128.15199999999999</v>
      </c>
    </row>
    <row r="32" spans="1:18" x14ac:dyDescent="0.25">
      <c r="A32">
        <v>16</v>
      </c>
      <c r="B32" t="s">
        <v>107</v>
      </c>
      <c r="C32" s="21">
        <v>104497.25</v>
      </c>
      <c r="D32" s="21">
        <f ca="1">SUM(OFFSET('Análisis tendencia'!$J$12, (ROW(A30)-1)*3, 0, 3, 1))</f>
        <v>52815.708333333328</v>
      </c>
      <c r="E32" s="21">
        <f ca="1">SUM(OFFSET('Análisis tendencia'!$K$12, (ROW(A30)-1)*3, 0, 3, 1))</f>
        <v>51681.541666666672</v>
      </c>
      <c r="F32" s="20">
        <v>105.6803</v>
      </c>
      <c r="G32" s="20">
        <f t="shared" si="1"/>
        <v>11.556916034251262</v>
      </c>
      <c r="H32" s="20">
        <f t="shared" ca="1" si="2"/>
        <v>10.874563931761257</v>
      </c>
      <c r="I32" s="20">
        <f t="shared" ca="1" si="3"/>
        <v>10.852855969022899</v>
      </c>
      <c r="J32" s="20">
        <f t="shared" si="4"/>
        <v>4.6604184989685571</v>
      </c>
      <c r="K32" s="18">
        <f t="shared" si="5"/>
        <v>12.948606241038149</v>
      </c>
      <c r="M32" s="19" t="s">
        <v>129</v>
      </c>
      <c r="O32" s="18">
        <f>F79</f>
        <v>91.988699999999994</v>
      </c>
    </row>
    <row r="33" spans="1:20" x14ac:dyDescent="0.25">
      <c r="A33">
        <v>16</v>
      </c>
      <c r="B33" t="s">
        <v>106</v>
      </c>
      <c r="C33" s="21">
        <v>105645.20833333334</v>
      </c>
      <c r="D33" s="21">
        <f ca="1">SUM(OFFSET('Análisis tendencia'!$J$12, (ROW(A31)-1)*3, 0, 3, 1))</f>
        <v>53368.666666666672</v>
      </c>
      <c r="E33" s="21">
        <f ca="1">SUM(OFFSET('Análisis tendencia'!$K$12, (ROW(A31)-1)*3, 0, 3, 1))</f>
        <v>52276.541666666672</v>
      </c>
      <c r="F33" s="20">
        <v>100.434</v>
      </c>
      <c r="G33" s="20">
        <f t="shared" si="1"/>
        <v>11.567841667858865</v>
      </c>
      <c r="H33" s="20">
        <f t="shared" ca="1" si="2"/>
        <v>10.884979086191606</v>
      </c>
      <c r="I33" s="20">
        <f t="shared" ca="1" si="3"/>
        <v>10.864303015333356</v>
      </c>
      <c r="J33" s="20">
        <f t="shared" si="4"/>
        <v>4.6095007953485378</v>
      </c>
      <c r="K33" s="18">
        <f t="shared" si="5"/>
        <v>12.944835512488016</v>
      </c>
    </row>
    <row r="34" spans="1:20" x14ac:dyDescent="0.25">
      <c r="A34">
        <v>15</v>
      </c>
      <c r="B34" t="s">
        <v>109</v>
      </c>
      <c r="C34" s="21">
        <v>106111.70833333333</v>
      </c>
      <c r="D34" s="21">
        <f ca="1">SUM(OFFSET('Análisis tendencia'!$J$12, (ROW(A32)-1)*3, 0, 3, 1))</f>
        <v>53628.666666666664</v>
      </c>
      <c r="E34" s="21">
        <f ca="1">SUM(OFFSET('Análisis tendencia'!$K$12, (ROW(A32)-1)*3, 0, 3, 1))</f>
        <v>52483.041666666664</v>
      </c>
      <c r="F34" s="20">
        <v>105.3563</v>
      </c>
      <c r="G34" s="20">
        <f t="shared" si="1"/>
        <v>11.57224767038306</v>
      </c>
      <c r="H34" s="20">
        <f t="shared" ca="1" si="2"/>
        <v>10.889839029961157</v>
      </c>
      <c r="I34" s="20">
        <f t="shared" ca="1" si="3"/>
        <v>10.868245380525835</v>
      </c>
      <c r="J34" s="20">
        <f t="shared" si="4"/>
        <v>4.6573479391266615</v>
      </c>
      <c r="K34" s="18">
        <f t="shared" si="5"/>
        <v>12.948542388193156</v>
      </c>
      <c r="M34" s="19" t="s">
        <v>131</v>
      </c>
      <c r="N34">
        <f>COUNT(A2:A79)</f>
        <v>78</v>
      </c>
      <c r="O34" s="19" t="s">
        <v>135</v>
      </c>
    </row>
    <row r="35" spans="1:20" x14ac:dyDescent="0.25">
      <c r="A35">
        <v>15</v>
      </c>
      <c r="B35" t="s">
        <v>108</v>
      </c>
      <c r="C35" s="21">
        <v>105983.625</v>
      </c>
      <c r="D35" s="21">
        <f ca="1">SUM(OFFSET('Análisis tendencia'!$J$12, (ROW(A33)-1)*3, 0, 3, 1))</f>
        <v>53569.75</v>
      </c>
      <c r="E35" s="21">
        <f ca="1">SUM(OFFSET('Análisis tendencia'!$K$12, (ROW(A33)-1)*3, 0, 3, 1))</f>
        <v>52413.875</v>
      </c>
      <c r="F35" s="20">
        <v>101.5296</v>
      </c>
      <c r="G35" s="20">
        <f t="shared" si="1"/>
        <v>11.571039880028689</v>
      </c>
      <c r="H35" s="20">
        <f t="shared" ca="1" si="2"/>
        <v>10.888739822073003</v>
      </c>
      <c r="I35" s="20">
        <f t="shared" ca="1" si="3"/>
        <v>10.866926625334765</v>
      </c>
      <c r="J35" s="20">
        <f t="shared" si="4"/>
        <v>4.6203503815831208</v>
      </c>
      <c r="K35" s="18">
        <f t="shared" si="5"/>
        <v>12.953323921680528</v>
      </c>
      <c r="M35" s="19" t="s">
        <v>132</v>
      </c>
      <c r="N35">
        <f>N34+8</f>
        <v>86</v>
      </c>
      <c r="S35" s="19" t="s">
        <v>141</v>
      </c>
      <c r="T35" s="26">
        <f>SUM('Comparativa mes año anterior'!H9:H20)</f>
        <v>707493</v>
      </c>
    </row>
    <row r="36" spans="1:20" x14ac:dyDescent="0.25">
      <c r="A36">
        <v>15</v>
      </c>
      <c r="B36" t="s">
        <v>107</v>
      </c>
      <c r="C36" s="21">
        <v>106989.29166666666</v>
      </c>
      <c r="D36" s="21">
        <f ca="1">SUM(OFFSET('Análisis tendencia'!$J$12, (ROW(A34)-1)*3, 0, 3, 1))</f>
        <v>54156.791666666672</v>
      </c>
      <c r="E36" s="21">
        <f ca="1">SUM(OFFSET('Análisis tendencia'!$K$12, (ROW(A34)-1)*3, 0, 3, 1))</f>
        <v>52832.5</v>
      </c>
      <c r="F36" s="20">
        <v>102.4213</v>
      </c>
      <c r="G36" s="20">
        <f t="shared" si="1"/>
        <v>11.580484030554297</v>
      </c>
      <c r="H36" s="20">
        <f t="shared" ca="1" si="2"/>
        <v>10.899638667771445</v>
      </c>
      <c r="I36" s="20">
        <f t="shared" ca="1" si="3"/>
        <v>10.874881810636307</v>
      </c>
      <c r="J36" s="20">
        <f t="shared" si="4"/>
        <v>4.6290946987872816</v>
      </c>
      <c r="K36" s="18">
        <f t="shared" si="5"/>
        <v>12.959208559497856</v>
      </c>
      <c r="M36" s="19" t="s">
        <v>133</v>
      </c>
      <c r="N36">
        <f>N35/4</f>
        <v>21.5</v>
      </c>
    </row>
    <row r="37" spans="1:20" x14ac:dyDescent="0.25">
      <c r="A37">
        <v>15</v>
      </c>
      <c r="B37" t="s">
        <v>106</v>
      </c>
      <c r="C37" s="21">
        <v>106939.54166666666</v>
      </c>
      <c r="D37" s="21">
        <f ca="1">SUM(OFFSET('Análisis tendencia'!$J$12, (ROW(A35)-1)*3, 0, 3, 1))</f>
        <v>54099.916666666672</v>
      </c>
      <c r="E37" s="21">
        <f ca="1">SUM(OFFSET('Análisis tendencia'!$K$12, (ROW(A35)-1)*3, 0, 3, 1))</f>
        <v>52839.625</v>
      </c>
      <c r="F37" s="20">
        <v>96.934200000000004</v>
      </c>
      <c r="G37" s="20">
        <f t="shared" si="1"/>
        <v>11.580018922601138</v>
      </c>
      <c r="H37" s="20">
        <f t="shared" ca="1" si="2"/>
        <v>10.898587924476024</v>
      </c>
      <c r="I37" s="20">
        <f t="shared" ca="1" si="3"/>
        <v>10.875016661714788</v>
      </c>
      <c r="J37" s="20">
        <f t="shared" si="4"/>
        <v>4.5740323978041051</v>
      </c>
      <c r="K37" s="18">
        <f t="shared" si="5"/>
        <v>12.962251352906939</v>
      </c>
    </row>
    <row r="38" spans="1:20" x14ac:dyDescent="0.25">
      <c r="A38">
        <v>14</v>
      </c>
      <c r="B38" t="s">
        <v>109</v>
      </c>
      <c r="C38" s="21">
        <v>105809.91666666666</v>
      </c>
      <c r="D38" s="21">
        <f ca="1">SUM(OFFSET('Análisis tendencia'!$J$12, (ROW(A36)-1)*3, 0, 3, 1))</f>
        <v>53504.5</v>
      </c>
      <c r="E38" s="21">
        <f ca="1">SUM(OFFSET('Análisis tendencia'!$K$12, (ROW(A36)-1)*3, 0, 3, 1))</f>
        <v>52305.416666666672</v>
      </c>
      <c r="F38" s="20">
        <v>101.14279999999999</v>
      </c>
      <c r="G38" s="20">
        <f t="shared" si="1"/>
        <v>11.569399524322684</v>
      </c>
      <c r="H38" s="20">
        <f t="shared" ca="1" si="2"/>
        <v>10.887521041496402</v>
      </c>
      <c r="I38" s="20">
        <f t="shared" ca="1" si="3"/>
        <v>10.864855213842427</v>
      </c>
      <c r="J38" s="20">
        <f t="shared" si="4"/>
        <v>4.6165333796664951</v>
      </c>
      <c r="K38" s="18">
        <f t="shared" si="5"/>
        <v>12.961542710923597</v>
      </c>
      <c r="M38" s="19" t="s">
        <v>134</v>
      </c>
      <c r="N38" s="25">
        <f>(O31/O32)^(1/N36)-1</f>
        <v>1.5540508496332706E-2</v>
      </c>
    </row>
    <row r="39" spans="1:20" x14ac:dyDescent="0.25">
      <c r="A39">
        <v>14</v>
      </c>
      <c r="B39" t="s">
        <v>108</v>
      </c>
      <c r="C39" s="21">
        <v>104660.45833333331</v>
      </c>
      <c r="D39" s="21">
        <f ca="1">SUM(OFFSET('Análisis tendencia'!$J$12, (ROW(A37)-1)*3, 0, 3, 1))</f>
        <v>52839.583333333328</v>
      </c>
      <c r="E39" s="21">
        <f ca="1">SUM(OFFSET('Análisis tendencia'!$K$12, (ROW(A37)-1)*3, 0, 3, 1))</f>
        <v>51820.875</v>
      </c>
      <c r="F39" s="20">
        <v>97.290099999999995</v>
      </c>
      <c r="G39" s="20">
        <f t="shared" si="1"/>
        <v>11.558476659176435</v>
      </c>
      <c r="H39" s="20">
        <f t="shared" ca="1" si="2"/>
        <v>10.875015873164848</v>
      </c>
      <c r="I39" s="20">
        <f t="shared" ca="1" si="3"/>
        <v>10.855548339345988</v>
      </c>
      <c r="J39" s="20">
        <f t="shared" si="4"/>
        <v>4.5776972368416748</v>
      </c>
      <c r="K39" s="18">
        <f t="shared" si="5"/>
        <v>12.958429820341651</v>
      </c>
      <c r="R39" s="19" t="s">
        <v>139</v>
      </c>
      <c r="S39" s="19"/>
      <c r="T39" s="19" t="s">
        <v>140</v>
      </c>
    </row>
    <row r="40" spans="1:20" x14ac:dyDescent="0.25">
      <c r="A40">
        <v>14</v>
      </c>
      <c r="B40" t="s">
        <v>107</v>
      </c>
      <c r="C40" s="21">
        <v>104024.25</v>
      </c>
      <c r="D40" s="21">
        <f ca="1">SUM(OFFSET('Análisis tendencia'!$J$12, (ROW(A38)-1)*3, 0, 3, 1))</f>
        <v>52411.375</v>
      </c>
      <c r="E40" s="21">
        <f ca="1">SUM(OFFSET('Análisis tendencia'!$K$12, (ROW(A38)-1)*3, 0, 3, 1))</f>
        <v>51612.875</v>
      </c>
      <c r="F40" s="20">
        <v>98.301299999999998</v>
      </c>
      <c r="G40" s="20">
        <f t="shared" si="1"/>
        <v>11.552379324019816</v>
      </c>
      <c r="H40" s="20">
        <f t="shared" ca="1" si="2"/>
        <v>10.866878926903318</v>
      </c>
      <c r="I40" s="20">
        <f t="shared" ca="1" si="3"/>
        <v>10.851526435849713</v>
      </c>
      <c r="J40" s="20">
        <f t="shared" si="4"/>
        <v>4.5880372518876475</v>
      </c>
      <c r="K40" s="18">
        <f t="shared" si="5"/>
        <v>12.951418856008711</v>
      </c>
      <c r="M40" s="24" t="s">
        <v>136</v>
      </c>
      <c r="N40" s="24"/>
      <c r="O40" s="24"/>
      <c r="P40" s="24"/>
      <c r="Q40" s="19"/>
      <c r="R40">
        <f>L2*1/100</f>
        <v>1.0718369235500867E-2</v>
      </c>
      <c r="T40" s="27">
        <f>T35*(1+(R40))^(2050-2025)</f>
        <v>923583.39886954206</v>
      </c>
    </row>
    <row r="41" spans="1:20" x14ac:dyDescent="0.25">
      <c r="A41">
        <v>14</v>
      </c>
      <c r="B41" t="s">
        <v>106</v>
      </c>
      <c r="C41" s="21">
        <v>104403.20833333334</v>
      </c>
      <c r="D41" s="21">
        <f ca="1">SUM(OFFSET('Análisis tendencia'!$J$12, (ROW(A39)-1)*3, 0, 3, 1))</f>
        <v>52532.083333333328</v>
      </c>
      <c r="E41" s="21">
        <f ca="1">SUM(OFFSET('Análisis tendencia'!$K$12, (ROW(A39)-1)*3, 0, 3, 1))</f>
        <v>51871.125</v>
      </c>
      <c r="F41" s="20">
        <v>93.6541</v>
      </c>
      <c r="G41" s="20">
        <f t="shared" si="1"/>
        <v>11.556015685120681</v>
      </c>
      <c r="H41" s="20">
        <f t="shared" ca="1" si="2"/>
        <v>10.86917937303847</v>
      </c>
      <c r="I41" s="20">
        <f t="shared" ca="1" si="3"/>
        <v>10.856517555947725</v>
      </c>
      <c r="J41" s="20">
        <f t="shared" si="4"/>
        <v>4.5396082079638145</v>
      </c>
      <c r="K41" s="18">
        <f t="shared" si="5"/>
        <v>12.945382334645153</v>
      </c>
      <c r="M41" s="24" t="s">
        <v>137</v>
      </c>
      <c r="N41" s="24"/>
      <c r="O41" s="24"/>
      <c r="P41" s="24"/>
      <c r="Q41" s="19"/>
      <c r="R41">
        <f>L2*1.5/100</f>
        <v>1.6077553853251301E-2</v>
      </c>
      <c r="T41" s="27">
        <f>T35*(1+(R41))^(2050-2025)</f>
        <v>1054128.5703028245</v>
      </c>
    </row>
    <row r="42" spans="1:20" x14ac:dyDescent="0.25">
      <c r="A42">
        <v>13</v>
      </c>
      <c r="B42" t="s">
        <v>109</v>
      </c>
      <c r="C42" s="21">
        <v>106364</v>
      </c>
      <c r="D42" s="21">
        <f ca="1">SUM(OFFSET('Análisis tendencia'!$J$12, (ROW(A40)-1)*3, 0, 3, 1))</f>
        <v>53411.25</v>
      </c>
      <c r="E42" s="21">
        <f ca="1">SUM(OFFSET('Análisis tendencia'!$K$12, (ROW(A40)-1)*3, 0, 3, 1))</f>
        <v>52952.75</v>
      </c>
      <c r="F42" s="20">
        <v>98.669200000000004</v>
      </c>
      <c r="G42" s="20">
        <f t="shared" si="1"/>
        <v>11.574622452773143</v>
      </c>
      <c r="H42" s="20">
        <f t="shared" ca="1" si="2"/>
        <v>10.885776676916906</v>
      </c>
      <c r="I42" s="20">
        <f t="shared" ca="1" si="3"/>
        <v>10.877155285469415</v>
      </c>
      <c r="J42" s="20">
        <f t="shared" si="4"/>
        <v>4.5917728410020118</v>
      </c>
      <c r="K42" s="18">
        <f t="shared" si="5"/>
        <v>12.946704177739901</v>
      </c>
      <c r="M42" s="24" t="s">
        <v>138</v>
      </c>
      <c r="N42" s="24"/>
      <c r="O42" s="24"/>
      <c r="P42" s="24"/>
      <c r="Q42" s="19"/>
      <c r="R42">
        <f>L2*N38</f>
        <v>1.6656890817113228E-2</v>
      </c>
      <c r="T42" s="27">
        <f>T35*(1+(R42))^(2050-2025)</f>
        <v>1069257.6411549971</v>
      </c>
    </row>
    <row r="43" spans="1:20" x14ac:dyDescent="0.25">
      <c r="A43">
        <v>13</v>
      </c>
      <c r="B43" t="s">
        <v>108</v>
      </c>
      <c r="C43" s="21">
        <v>111302.25</v>
      </c>
      <c r="D43" s="21">
        <f ca="1">SUM(OFFSET('Análisis tendencia'!$J$12, (ROW(A41)-1)*3, 0, 3, 1))</f>
        <v>55793.083333333336</v>
      </c>
      <c r="E43" s="21">
        <f ca="1">SUM(OFFSET('Análisis tendencia'!$K$12, (ROW(A41)-1)*3, 0, 3, 1))</f>
        <v>55509.166666666657</v>
      </c>
      <c r="F43" s="20">
        <v>95.536100000000005</v>
      </c>
      <c r="G43" s="20">
        <f t="shared" si="1"/>
        <v>11.620004752692726</v>
      </c>
      <c r="H43" s="20">
        <f t="shared" ca="1" si="2"/>
        <v>10.929405186086635</v>
      </c>
      <c r="I43" s="20">
        <f t="shared" ca="1" si="3"/>
        <v>10.924303451261427</v>
      </c>
      <c r="J43" s="20">
        <f t="shared" si="4"/>
        <v>4.5595041865299306</v>
      </c>
      <c r="K43" s="18">
        <f t="shared" si="5"/>
        <v>12.962414573674538</v>
      </c>
    </row>
    <row r="44" spans="1:20" x14ac:dyDescent="0.25">
      <c r="A44">
        <v>13</v>
      </c>
      <c r="B44" t="s">
        <v>107</v>
      </c>
      <c r="C44" s="21">
        <v>117364.33333333331</v>
      </c>
      <c r="D44" s="21">
        <f ca="1">SUM(OFFSET('Análisis tendencia'!$J$12, (ROW(A42)-1)*3, 0, 3, 1))</f>
        <v>58790.666666666672</v>
      </c>
      <c r="E44" s="21">
        <f ca="1">SUM(OFFSET('Análisis tendencia'!$K$12, (ROW(A42)-1)*3, 0, 3, 1))</f>
        <v>58573.666666666672</v>
      </c>
      <c r="F44" s="20">
        <v>97.421199999999999</v>
      </c>
      <c r="G44" s="20">
        <f t="shared" si="1"/>
        <v>11.673038335561705</v>
      </c>
      <c r="H44" s="20">
        <f t="shared" ca="1" si="2"/>
        <v>10.981738391129023</v>
      </c>
      <c r="I44" s="20">
        <f t="shared" ca="1" si="3"/>
        <v>10.978040500277254</v>
      </c>
      <c r="J44" s="20">
        <f t="shared" si="4"/>
        <v>4.5790438461017526</v>
      </c>
      <c r="K44" s="18">
        <f t="shared" si="5"/>
        <v>12.993242340087345</v>
      </c>
    </row>
    <row r="45" spans="1:20" x14ac:dyDescent="0.25">
      <c r="A45">
        <v>13</v>
      </c>
      <c r="B45" t="s">
        <v>106</v>
      </c>
      <c r="C45" s="21">
        <v>124894.25</v>
      </c>
      <c r="D45" s="21">
        <f ca="1">SUM(OFFSET('Análisis tendencia'!$J$12, (ROW(A43)-1)*3, 0, 3, 1))</f>
        <v>62358.208333333328</v>
      </c>
      <c r="E45" s="21">
        <f ca="1">SUM(OFFSET('Análisis tendencia'!$K$12, (ROW(A43)-1)*3, 0, 3, 1))</f>
        <v>62536.041666666672</v>
      </c>
      <c r="F45" s="20">
        <v>92.914900000000003</v>
      </c>
      <c r="G45" s="20">
        <f t="shared" si="1"/>
        <v>11.735222658224478</v>
      </c>
      <c r="H45" s="20">
        <f t="shared" ca="1" si="2"/>
        <v>11.040650591734808</v>
      </c>
      <c r="I45" s="20">
        <f t="shared" ca="1" si="3"/>
        <v>11.043498336182832</v>
      </c>
      <c r="J45" s="20">
        <f t="shared" si="4"/>
        <v>4.5316840204725457</v>
      </c>
      <c r="K45" s="18">
        <f t="shared" si="5"/>
        <v>13.038818349315994</v>
      </c>
    </row>
    <row r="46" spans="1:20" x14ac:dyDescent="0.25">
      <c r="A46">
        <v>12</v>
      </c>
      <c r="B46" t="s">
        <v>109</v>
      </c>
      <c r="C46" s="21">
        <v>129677.875</v>
      </c>
      <c r="D46" s="21">
        <f ca="1">SUM(OFFSET('Análisis tendencia'!$J$12, (ROW(A44)-1)*3, 0, 3, 1))</f>
        <v>64679.208333333328</v>
      </c>
      <c r="E46" s="21">
        <f ca="1">SUM(OFFSET('Análisis tendencia'!$K$12, (ROW(A44)-1)*3, 0, 3, 1))</f>
        <v>64998.666666666672</v>
      </c>
      <c r="F46" s="20">
        <v>99.197599999999994</v>
      </c>
      <c r="G46" s="20">
        <f t="shared" si="1"/>
        <v>11.772808769785476</v>
      </c>
      <c r="H46" s="20">
        <f t="shared" ca="1" si="2"/>
        <v>11.077195073871755</v>
      </c>
      <c r="I46" s="20">
        <f t="shared" ca="1" si="3"/>
        <v>11.08212203584687</v>
      </c>
      <c r="J46" s="20">
        <f t="shared" si="4"/>
        <v>4.5971138204497715</v>
      </c>
      <c r="K46" s="18">
        <f t="shared" si="5"/>
        <v>13.088266030699982</v>
      </c>
    </row>
    <row r="47" spans="1:20" x14ac:dyDescent="0.25">
      <c r="A47">
        <v>12</v>
      </c>
      <c r="B47" t="s">
        <v>108</v>
      </c>
      <c r="C47" s="21">
        <v>134675.83333333334</v>
      </c>
      <c r="D47" s="21">
        <f ca="1">SUM(OFFSET('Análisis tendencia'!$J$12, (ROW(A45)-1)*3, 0, 3, 1))</f>
        <v>67145.083333333343</v>
      </c>
      <c r="E47" s="21">
        <f ca="1">SUM(OFFSET('Análisis tendencia'!$K$12, (ROW(A45)-1)*3, 0, 3, 1))</f>
        <v>67530.75</v>
      </c>
      <c r="F47" s="20">
        <v>96.453100000000006</v>
      </c>
      <c r="G47" s="20">
        <f t="shared" si="1"/>
        <v>11.810625935265499</v>
      </c>
      <c r="H47" s="20">
        <f t="shared" ca="1" si="2"/>
        <v>11.114610980109648</v>
      </c>
      <c r="I47" s="20">
        <f t="shared" ca="1" si="3"/>
        <v>11.120338328682248</v>
      </c>
      <c r="J47" s="20">
        <f t="shared" si="4"/>
        <v>4.5690568798409297</v>
      </c>
      <c r="K47" s="18">
        <f t="shared" si="5"/>
        <v>13.135501279316298</v>
      </c>
    </row>
    <row r="48" spans="1:20" x14ac:dyDescent="0.25">
      <c r="A48">
        <v>12</v>
      </c>
      <c r="B48" t="s">
        <v>107</v>
      </c>
      <c r="C48" s="21">
        <v>141714.16666666666</v>
      </c>
      <c r="D48" s="21">
        <f ca="1">SUM(OFFSET('Análisis tendencia'!$J$12, (ROW(A46)-1)*3, 0, 3, 1))</f>
        <v>70577.125</v>
      </c>
      <c r="E48" s="21">
        <f ca="1">SUM(OFFSET('Análisis tendencia'!$K$12, (ROW(A46)-1)*3, 0, 3, 1))</f>
        <v>71137.041666666657</v>
      </c>
      <c r="F48" s="20">
        <v>98.704899999999995</v>
      </c>
      <c r="G48" s="20">
        <f t="shared" si="1"/>
        <v>11.861567397157581</v>
      </c>
      <c r="H48" s="20">
        <f t="shared" ca="1" si="2"/>
        <v>11.164461362480655</v>
      </c>
      <c r="I48" s="20">
        <f t="shared" ca="1" si="3"/>
        <v>11.172363459969052</v>
      </c>
      <c r="J48" s="20">
        <f t="shared" si="4"/>
        <v>4.5921345905972153</v>
      </c>
      <c r="K48" s="18">
        <f t="shared" si="5"/>
        <v>13.18244596999652</v>
      </c>
    </row>
    <row r="49" spans="1:11" x14ac:dyDescent="0.25">
      <c r="A49">
        <v>12</v>
      </c>
      <c r="B49" t="s">
        <v>106</v>
      </c>
      <c r="C49" s="21">
        <v>154478.91666666666</v>
      </c>
      <c r="D49" s="21">
        <f ca="1">SUM(OFFSET('Análisis tendencia'!$J$12, (ROW(A47)-1)*3, 0, 3, 1))</f>
        <v>77012.833333333343</v>
      </c>
      <c r="E49" s="21">
        <f ca="1">SUM(OFFSET('Análisis tendencia'!$K$12, (ROW(A47)-1)*3, 0, 3, 1))</f>
        <v>77466.083333333328</v>
      </c>
      <c r="F49" s="20">
        <v>95.754099999999994</v>
      </c>
      <c r="G49" s="20">
        <f t="shared" si="1"/>
        <v>11.947812904303769</v>
      </c>
      <c r="H49" s="20">
        <f t="shared" ca="1" si="2"/>
        <v>11.251727353615141</v>
      </c>
      <c r="I49" s="20">
        <f t="shared" ca="1" si="3"/>
        <v>11.25759548514295</v>
      </c>
      <c r="J49" s="20">
        <f t="shared" si="4"/>
        <v>4.5617834469873539</v>
      </c>
      <c r="K49" s="18">
        <f t="shared" si="5"/>
        <v>13.236668000020032</v>
      </c>
    </row>
    <row r="50" spans="1:11" x14ac:dyDescent="0.25">
      <c r="A50">
        <v>11</v>
      </c>
      <c r="B50" t="s">
        <v>109</v>
      </c>
      <c r="C50" s="21">
        <v>172082.20833333331</v>
      </c>
      <c r="D50" s="21">
        <f ca="1">SUM(OFFSET('Análisis tendencia'!$J$12, (ROW(A48)-1)*3, 0, 3, 1))</f>
        <v>85876.666666666672</v>
      </c>
      <c r="E50" s="21">
        <f ca="1">SUM(OFFSET('Análisis tendencia'!$K$12, (ROW(A48)-1)*3, 0, 3, 1))</f>
        <v>86205.541666666672</v>
      </c>
      <c r="F50" s="20">
        <v>102.6568</v>
      </c>
      <c r="G50" s="20">
        <f t="shared" si="1"/>
        <v>12.055727597037635</v>
      </c>
      <c r="H50" s="20">
        <f t="shared" ca="1" si="2"/>
        <v>11.36066743739066</v>
      </c>
      <c r="I50" s="20">
        <f t="shared" ca="1" si="3"/>
        <v>11.36448974306178</v>
      </c>
      <c r="J50" s="20">
        <f t="shared" si="4"/>
        <v>4.631391385791086</v>
      </c>
      <c r="K50" s="18">
        <f t="shared" si="5"/>
        <v>13.309591419356352</v>
      </c>
    </row>
    <row r="51" spans="1:11" x14ac:dyDescent="0.25">
      <c r="A51">
        <v>11</v>
      </c>
      <c r="B51" t="s">
        <v>108</v>
      </c>
      <c r="C51" s="21">
        <v>185548.54166666666</v>
      </c>
      <c r="D51" s="21">
        <f ca="1">SUM(OFFSET('Análisis tendencia'!$J$12, (ROW(A49)-1)*3, 0, 3, 1))</f>
        <v>92747.958333333328</v>
      </c>
      <c r="E51" s="21">
        <f ca="1">SUM(OFFSET('Análisis tendencia'!$K$12, (ROW(A49)-1)*3, 0, 3, 1))</f>
        <v>92800.583333333328</v>
      </c>
      <c r="F51" s="20">
        <v>99.255499999999998</v>
      </c>
      <c r="G51" s="20">
        <f t="shared" si="1"/>
        <v>12.131071806941106</v>
      </c>
      <c r="H51" s="20">
        <f t="shared" ca="1" si="2"/>
        <v>11.437640967648784</v>
      </c>
      <c r="I51" s="20">
        <f t="shared" ca="1" si="3"/>
        <v>11.438208204674076</v>
      </c>
      <c r="J51" s="20">
        <f t="shared" si="4"/>
        <v>4.5976973336490392</v>
      </c>
      <c r="K51" s="18">
        <f t="shared" si="5"/>
        <v>13.390593226161418</v>
      </c>
    </row>
    <row r="52" spans="1:11" x14ac:dyDescent="0.25">
      <c r="A52">
        <v>11</v>
      </c>
      <c r="B52" t="s">
        <v>107</v>
      </c>
      <c r="C52" s="21">
        <v>187884.41666666669</v>
      </c>
      <c r="D52" s="21">
        <f ca="1">SUM(OFFSET('Análisis tendencia'!$J$12, (ROW(A50)-1)*3, 0, 3, 1))</f>
        <v>94009.125</v>
      </c>
      <c r="E52" s="21">
        <f ca="1">SUM(OFFSET('Análisis tendencia'!$K$12, (ROW(A50)-1)*3, 0, 3, 1))</f>
        <v>93875.291666666657</v>
      </c>
      <c r="F52" s="20">
        <v>101.925</v>
      </c>
      <c r="G52" s="20">
        <f t="shared" si="1"/>
        <v>12.143582247777477</v>
      </c>
      <c r="H52" s="20">
        <f t="shared" ca="1" si="2"/>
        <v>11.451147131008804</v>
      </c>
      <c r="I52" s="20">
        <f t="shared" ca="1" si="3"/>
        <v>11.449722496030095</v>
      </c>
      <c r="J52" s="20">
        <f t="shared" si="4"/>
        <v>4.6242372487053167</v>
      </c>
      <c r="K52" s="18">
        <f t="shared" si="5"/>
        <v>13.458827161608868</v>
      </c>
    </row>
    <row r="53" spans="1:11" x14ac:dyDescent="0.25">
      <c r="A53">
        <v>11</v>
      </c>
      <c r="B53" t="s">
        <v>106</v>
      </c>
      <c r="C53" s="21">
        <v>184764.66666666666</v>
      </c>
      <c r="D53" s="21">
        <f ca="1">SUM(OFFSET('Análisis tendencia'!$J$12, (ROW(A51)-1)*3, 0, 3, 1))</f>
        <v>92483.666666666672</v>
      </c>
      <c r="E53" s="21">
        <f ca="1">SUM(OFFSET('Análisis tendencia'!$K$12, (ROW(A51)-1)*3, 0, 3, 1))</f>
        <v>92281</v>
      </c>
      <c r="F53" s="20">
        <v>97.779200000000003</v>
      </c>
      <c r="G53" s="20">
        <f t="shared" si="1"/>
        <v>12.126838222217915</v>
      </c>
      <c r="H53" s="20">
        <f t="shared" ca="1" si="2"/>
        <v>11.43478733133246</v>
      </c>
      <c r="I53" s="20">
        <f t="shared" ca="1" si="3"/>
        <v>11.432593548813283</v>
      </c>
      <c r="J53" s="20">
        <f t="shared" si="4"/>
        <v>4.5827118754847938</v>
      </c>
      <c r="K53" s="18">
        <f t="shared" si="5"/>
        <v>13.501183073004455</v>
      </c>
    </row>
    <row r="54" spans="1:11" x14ac:dyDescent="0.25">
      <c r="A54">
        <v>10</v>
      </c>
      <c r="B54" t="s">
        <v>109</v>
      </c>
      <c r="C54" s="21">
        <v>175421.70833333334</v>
      </c>
      <c r="D54" s="21">
        <f ca="1">SUM(OFFSET('Análisis tendencia'!$J$12, (ROW(A52)-1)*3, 0, 3, 1))</f>
        <v>87908.375</v>
      </c>
      <c r="E54" s="21">
        <f ca="1">SUM(OFFSET('Análisis tendencia'!$K$12, (ROW(A52)-1)*3, 0, 3, 1))</f>
        <v>87513.333333333328</v>
      </c>
      <c r="F54" s="20">
        <v>104.6908</v>
      </c>
      <c r="G54" s="20">
        <f t="shared" si="1"/>
        <v>12.074948115990239</v>
      </c>
      <c r="H54" s="20">
        <f t="shared" ca="1" si="2"/>
        <v>11.384050357860364</v>
      </c>
      <c r="I54" s="20">
        <f t="shared" ca="1" si="3"/>
        <v>11.379546441689289</v>
      </c>
      <c r="J54" s="20">
        <f t="shared" si="4"/>
        <v>4.6510112439106255</v>
      </c>
      <c r="K54" s="18">
        <f t="shared" si="5"/>
        <v>13.505745553630202</v>
      </c>
    </row>
    <row r="55" spans="1:11" x14ac:dyDescent="0.25">
      <c r="A55">
        <v>10</v>
      </c>
      <c r="B55" t="s">
        <v>108</v>
      </c>
      <c r="C55" s="21">
        <v>157616.95833333334</v>
      </c>
      <c r="D55" s="21">
        <f ca="1">SUM(OFFSET('Análisis tendencia'!$J$12, (ROW(A53)-1)*3, 0, 3, 1))</f>
        <v>78918.875</v>
      </c>
      <c r="E55" s="21">
        <f ca="1">SUM(OFFSET('Análisis tendencia'!$K$12, (ROW(A53)-1)*3, 0, 3, 1))</f>
        <v>78698.083333333328</v>
      </c>
      <c r="F55" s="20">
        <v>99.705699999999993</v>
      </c>
      <c r="G55" s="20">
        <f t="shared" si="1"/>
        <v>11.967923054254962</v>
      </c>
      <c r="H55" s="20">
        <f t="shared" ca="1" si="2"/>
        <v>11.276175705093236</v>
      </c>
      <c r="I55" s="20">
        <f t="shared" ca="1" si="3"/>
        <v>11.273374080021679</v>
      </c>
      <c r="J55" s="20">
        <f t="shared" si="4"/>
        <v>4.6022228468481075</v>
      </c>
      <c r="K55" s="18">
        <f t="shared" si="5"/>
        <v>13.466928138187274</v>
      </c>
    </row>
    <row r="56" spans="1:11" x14ac:dyDescent="0.25">
      <c r="A56">
        <v>10</v>
      </c>
      <c r="B56" t="s">
        <v>107</v>
      </c>
      <c r="C56" s="21">
        <v>146013.70833333334</v>
      </c>
      <c r="D56" s="21">
        <f ca="1">SUM(OFFSET('Análisis tendencia'!$J$12, (ROW(A54)-1)*3, 0, 3, 1))</f>
        <v>73027.458333333328</v>
      </c>
      <c r="E56" s="21">
        <f ca="1">SUM(OFFSET('Análisis tendencia'!$K$12, (ROW(A54)-1)*3, 0, 3, 1))</f>
        <v>72986.25</v>
      </c>
      <c r="F56" s="20">
        <v>102.31789999999999</v>
      </c>
      <c r="G56" s="20">
        <f t="shared" si="1"/>
        <v>11.891455788976895</v>
      </c>
      <c r="H56" s="20">
        <f t="shared" ca="1" si="2"/>
        <v>11.198590790959541</v>
      </c>
      <c r="I56" s="20">
        <f t="shared" ca="1" si="3"/>
        <v>11.198026346224895</v>
      </c>
      <c r="J56" s="20">
        <f t="shared" si="4"/>
        <v>4.6280846332132146</v>
      </c>
      <c r="K56" s="18">
        <f t="shared" si="5"/>
        <v>13.40576185083191</v>
      </c>
    </row>
    <row r="57" spans="1:11" x14ac:dyDescent="0.25">
      <c r="A57">
        <v>10</v>
      </c>
      <c r="B57" t="s">
        <v>106</v>
      </c>
      <c r="C57" s="21">
        <v>135904.79166666666</v>
      </c>
      <c r="D57" s="21">
        <f ca="1">SUM(OFFSET('Análisis tendencia'!$J$12, (ROW(A55)-1)*3, 0, 3, 1))</f>
        <v>67975.041666666672</v>
      </c>
      <c r="E57" s="21">
        <f ca="1">SUM(OFFSET('Análisis tendencia'!$K$12, (ROW(A55)-1)*3, 0, 3, 1))</f>
        <v>67929.75</v>
      </c>
      <c r="F57" s="20">
        <v>97.488600000000005</v>
      </c>
      <c r="G57" s="20">
        <f t="shared" si="1"/>
        <v>11.819709858286362</v>
      </c>
      <c r="H57" s="20">
        <f t="shared" ca="1" si="2"/>
        <v>11.126895882470938</v>
      </c>
      <c r="I57" s="20">
        <f t="shared" ca="1" si="3"/>
        <v>11.126229361919485</v>
      </c>
      <c r="J57" s="20">
        <f t="shared" si="4"/>
        <v>4.579735448090843</v>
      </c>
      <c r="K57" s="18">
        <f t="shared" si="5"/>
        <v>13.329307896666664</v>
      </c>
    </row>
    <row r="58" spans="1:11" x14ac:dyDescent="0.25">
      <c r="A58">
        <v>9</v>
      </c>
      <c r="B58" t="s">
        <v>109</v>
      </c>
      <c r="C58" s="21">
        <v>130380.58333333334</v>
      </c>
      <c r="D58" s="21">
        <f ca="1">SUM(OFFSET('Análisis tendencia'!$J$12, (ROW(A56)-1)*3, 0, 3, 1))</f>
        <v>65134.125</v>
      </c>
      <c r="E58" s="21">
        <f ca="1">SUM(OFFSET('Análisis tendencia'!$K$12, (ROW(A56)-1)*3, 0, 3, 1))</f>
        <v>65246.458333333328</v>
      </c>
      <c r="F58" s="20">
        <v>104.6972</v>
      </c>
      <c r="G58" s="20">
        <f t="shared" si="1"/>
        <v>11.778213016569866</v>
      </c>
      <c r="H58" s="20">
        <f t="shared" ca="1" si="2"/>
        <v>11.084203884403603</v>
      </c>
      <c r="I58" s="20">
        <f t="shared" ca="1" si="3"/>
        <v>11.085927045295465</v>
      </c>
      <c r="J58" s="20">
        <f t="shared" si="4"/>
        <v>4.6510723744434355</v>
      </c>
      <c r="K58" s="18">
        <f t="shared" si="5"/>
        <v>13.253244333640074</v>
      </c>
    </row>
    <row r="59" spans="1:11" x14ac:dyDescent="0.25">
      <c r="A59">
        <v>9</v>
      </c>
      <c r="B59" t="s">
        <v>108</v>
      </c>
      <c r="C59" s="21">
        <v>131604.41666666669</v>
      </c>
      <c r="D59" s="21">
        <f ca="1">SUM(OFFSET('Análisis tendencia'!$J$12, (ROW(A57)-1)*3, 0, 3, 1))</f>
        <v>65684.458333333328</v>
      </c>
      <c r="E59" s="21">
        <f ca="1">SUM(OFFSET('Análisis tendencia'!$K$12, (ROW(A57)-1)*3, 0, 3, 1))</f>
        <v>65919.958333333343</v>
      </c>
      <c r="F59" s="20">
        <v>99.564700000000002</v>
      </c>
      <c r="G59" s="20">
        <f t="shared" si="1"/>
        <v>11.787555858607046</v>
      </c>
      <c r="H59" s="20">
        <f t="shared" ca="1" si="2"/>
        <v>11.092617621440944</v>
      </c>
      <c r="I59" s="20">
        <f t="shared" ca="1" si="3"/>
        <v>11.096196532503866</v>
      </c>
      <c r="J59" s="20">
        <f t="shared" si="4"/>
        <v>4.6008076840990837</v>
      </c>
      <c r="K59" s="18">
        <f t="shared" si="5"/>
        <v>13.206527120396782</v>
      </c>
    </row>
    <row r="60" spans="1:11" x14ac:dyDescent="0.25">
      <c r="A60">
        <v>9</v>
      </c>
      <c r="B60" t="s">
        <v>107</v>
      </c>
      <c r="C60" s="21">
        <v>133044.20833333334</v>
      </c>
      <c r="D60" s="21">
        <f ca="1">SUM(OFFSET('Análisis tendencia'!$J$12, (ROW(A58)-1)*3, 0, 3, 1))</f>
        <v>66427.625</v>
      </c>
      <c r="E60" s="21">
        <f ca="1">SUM(OFFSET('Análisis tendencia'!$K$12, (ROW(A58)-1)*3, 0, 3, 1))</f>
        <v>66616.583333333328</v>
      </c>
      <c r="F60" s="20">
        <v>102.0895</v>
      </c>
      <c r="G60" s="20">
        <f t="shared" si="1"/>
        <v>11.798436745457124</v>
      </c>
      <c r="H60" s="20">
        <f t="shared" ca="1" si="2"/>
        <v>11.103868288100859</v>
      </c>
      <c r="I60" s="20">
        <f t="shared" ca="1" si="3"/>
        <v>11.106708824532374</v>
      </c>
      <c r="J60" s="20">
        <f t="shared" si="4"/>
        <v>4.6258498795295928</v>
      </c>
      <c r="K60" s="18">
        <f t="shared" si="5"/>
        <v>13.182392998713652</v>
      </c>
    </row>
    <row r="61" spans="1:11" x14ac:dyDescent="0.25">
      <c r="A61">
        <v>9</v>
      </c>
      <c r="B61" t="s">
        <v>106</v>
      </c>
      <c r="C61" s="21">
        <v>137805.5</v>
      </c>
      <c r="D61" s="21">
        <f ca="1">SUM(OFFSET('Análisis tendencia'!$J$12, (ROW(A59)-1)*3, 0, 3, 1))</f>
        <v>68869.958333333343</v>
      </c>
      <c r="E61" s="21">
        <f ca="1">SUM(OFFSET('Análisis tendencia'!$K$12, (ROW(A59)-1)*3, 0, 3, 1))</f>
        <v>68935.541666666657</v>
      </c>
      <c r="F61" s="20">
        <v>97.471500000000006</v>
      </c>
      <c r="G61" s="20">
        <f t="shared" si="1"/>
        <v>11.833598549682467</v>
      </c>
      <c r="H61" s="20">
        <f t="shared" ca="1" si="2"/>
        <v>11.139975343533964</v>
      </c>
      <c r="I61" s="20">
        <f t="shared" ca="1" si="3"/>
        <v>11.140927168218532</v>
      </c>
      <c r="J61" s="20">
        <f t="shared" si="4"/>
        <v>4.5795600275812731</v>
      </c>
      <c r="K61" s="18">
        <f t="shared" si="5"/>
        <v>13.185966539354855</v>
      </c>
    </row>
    <row r="62" spans="1:11" x14ac:dyDescent="0.25">
      <c r="A62">
        <v>8</v>
      </c>
      <c r="B62" t="s">
        <v>109</v>
      </c>
      <c r="C62" s="21">
        <v>144857</v>
      </c>
      <c r="D62" s="21">
        <f ca="1">SUM(OFFSET('Análisis tendencia'!$J$12, (ROW(A60)-1)*3, 0, 3, 1))</f>
        <v>72263.041666666672</v>
      </c>
      <c r="E62" s="21">
        <f ca="1">SUM(OFFSET('Análisis tendencia'!$K$12, (ROW(A60)-1)*3, 0, 3, 1))</f>
        <v>72593.958333333343</v>
      </c>
      <c r="F62" s="20">
        <v>107.24469999999999</v>
      </c>
      <c r="G62" s="20">
        <f t="shared" si="1"/>
        <v>11.883502327884171</v>
      </c>
      <c r="H62" s="20">
        <f t="shared" ca="1" si="2"/>
        <v>11.188068097182278</v>
      </c>
      <c r="I62" s="20">
        <f t="shared" ca="1" si="3"/>
        <v>11.192636978800904</v>
      </c>
      <c r="J62" s="20">
        <f t="shared" si="4"/>
        <v>4.6751131393376362</v>
      </c>
      <c r="K62" s="18">
        <f t="shared" si="5"/>
        <v>13.21277270398553</v>
      </c>
    </row>
    <row r="63" spans="1:11" x14ac:dyDescent="0.25">
      <c r="A63">
        <v>8</v>
      </c>
      <c r="B63" t="s">
        <v>108</v>
      </c>
      <c r="C63" s="21">
        <v>148393.66666666666</v>
      </c>
      <c r="D63" s="21">
        <f ca="1">SUM(OFFSET('Análisis tendencia'!$J$12, (ROW(A61)-1)*3, 0, 3, 1))</f>
        <v>74055.166666666672</v>
      </c>
      <c r="E63" s="21">
        <f ca="1">SUM(OFFSET('Análisis tendencia'!$K$12, (ROW(A61)-1)*3, 0, 3, 1))</f>
        <v>74338.5</v>
      </c>
      <c r="F63" s="20">
        <v>103.2076</v>
      </c>
      <c r="G63" s="20">
        <f t="shared" si="1"/>
        <v>11.907623931356371</v>
      </c>
      <c r="H63" s="20">
        <f t="shared" ca="1" si="2"/>
        <v>11.212565589938064</v>
      </c>
      <c r="I63" s="20">
        <f t="shared" ca="1" si="3"/>
        <v>11.216384266085123</v>
      </c>
      <c r="J63" s="20">
        <f t="shared" si="4"/>
        <v>4.6367424937467723</v>
      </c>
      <c r="K63" s="18">
        <f t="shared" si="5"/>
        <v>13.242987484503596</v>
      </c>
    </row>
    <row r="64" spans="1:11" x14ac:dyDescent="0.25">
      <c r="A64">
        <v>8</v>
      </c>
      <c r="B64" t="s">
        <v>107</v>
      </c>
      <c r="C64" s="21">
        <v>148304.29166666669</v>
      </c>
      <c r="D64" s="21">
        <f ca="1">SUM(OFFSET('Análisis tendencia'!$J$12, (ROW(A62)-1)*3, 0, 3, 1))</f>
        <v>73919.25</v>
      </c>
      <c r="E64" s="21">
        <f ca="1">SUM(OFFSET('Análisis tendencia'!$K$12, (ROW(A62)-1)*3, 0, 3, 1))</f>
        <v>74385.041666666657</v>
      </c>
      <c r="F64" s="20">
        <v>106.9502</v>
      </c>
      <c r="G64" s="20">
        <f t="shared" si="1"/>
        <v>11.907021466794731</v>
      </c>
      <c r="H64" s="20">
        <f t="shared" ca="1" si="2"/>
        <v>11.210728560160197</v>
      </c>
      <c r="I64" s="20">
        <f t="shared" ca="1" si="3"/>
        <v>11.217010147739963</v>
      </c>
      <c r="J64" s="20">
        <f t="shared" si="4"/>
        <v>4.6723633055593918</v>
      </c>
      <c r="K64" s="18">
        <f t="shared" si="5"/>
        <v>13.269680116101981</v>
      </c>
    </row>
    <row r="65" spans="1:11" x14ac:dyDescent="0.25">
      <c r="A65">
        <v>8</v>
      </c>
      <c r="B65" t="s">
        <v>106</v>
      </c>
      <c r="C65" s="21">
        <v>143762.875</v>
      </c>
      <c r="D65" s="21">
        <f ca="1">SUM(OFFSET('Análisis tendencia'!$J$12, (ROW(A63)-1)*3, 0, 3, 1))</f>
        <v>71490.541666666657</v>
      </c>
      <c r="E65" s="21">
        <f ca="1">SUM(OFFSET('Análisis tendencia'!$K$12, (ROW(A63)-1)*3, 0, 3, 1))</f>
        <v>72272.333333333328</v>
      </c>
      <c r="F65" s="20">
        <v>102.2329</v>
      </c>
      <c r="G65" s="20">
        <f t="shared" si="1"/>
        <v>11.875920519866263</v>
      </c>
      <c r="H65" s="20">
        <f t="shared" ca="1" si="2"/>
        <v>11.177320435549463</v>
      </c>
      <c r="I65" s="20">
        <f t="shared" ca="1" si="3"/>
        <v>11.188196670089491</v>
      </c>
      <c r="J65" s="20">
        <f t="shared" si="4"/>
        <v>4.6272535437734028</v>
      </c>
      <c r="K65" s="18">
        <f t="shared" si="5"/>
        <v>13.279910283520657</v>
      </c>
    </row>
    <row r="66" spans="1:11" x14ac:dyDescent="0.25">
      <c r="A66">
        <v>7</v>
      </c>
      <c r="B66" t="s">
        <v>109</v>
      </c>
      <c r="C66" s="21">
        <v>135538.04166666669</v>
      </c>
      <c r="D66" s="21">
        <f ca="1">SUM(OFFSET('Análisis tendencia'!$J$12, (ROW(A64)-1)*3, 0, 3, 1))</f>
        <v>67689.125</v>
      </c>
      <c r="E66" s="21">
        <f ca="1">SUM(OFFSET('Análisis tendencia'!$K$12, (ROW(A64)-1)*3, 0, 3, 1))</f>
        <v>67848.916666666672</v>
      </c>
      <c r="F66" s="20">
        <v>109.10509999999999</v>
      </c>
      <c r="G66" s="20">
        <f t="shared" si="1"/>
        <v>11.817007630206403</v>
      </c>
      <c r="H66" s="20">
        <f t="shared" ca="1" si="2"/>
        <v>11.122680810842063</v>
      </c>
      <c r="I66" s="20">
        <f t="shared" ca="1" si="3"/>
        <v>11.125038698542573</v>
      </c>
      <c r="J66" s="20">
        <f t="shared" si="4"/>
        <v>4.6923116378509508</v>
      </c>
      <c r="K66" s="18">
        <f>+LN(SUM(C63:C66))</f>
        <v>13.263860986551121</v>
      </c>
    </row>
    <row r="67" spans="1:11" x14ac:dyDescent="0.25">
      <c r="A67">
        <v>7</v>
      </c>
      <c r="B67" t="s">
        <v>108</v>
      </c>
      <c r="C67" s="21">
        <v>129386.29166666666</v>
      </c>
      <c r="D67" s="21">
        <f ca="1">SUM(OFFSET('Análisis tendencia'!$J$12, (ROW(A65)-1)*3, 0, 3, 1))</f>
        <v>64614.375</v>
      </c>
      <c r="E67" s="21">
        <f ca="1">SUM(OFFSET('Análisis tendencia'!$K$12, (ROW(A65)-1)*3, 0, 3, 1))</f>
        <v>64771.916666666672</v>
      </c>
      <c r="F67" s="20">
        <v>102.2811</v>
      </c>
      <c r="G67" s="20">
        <f t="shared" ref="G67:G79" si="6">LN(C67)</f>
        <v>11.770557717776148</v>
      </c>
      <c r="H67" s="20">
        <f t="shared" ref="H67:H79" ca="1" si="7">LN(D67)</f>
        <v>11.076192188235888</v>
      </c>
      <c r="I67" s="20">
        <f t="shared" ref="I67:I79" ca="1" si="8">LN(E67)</f>
        <v>11.078627403628381</v>
      </c>
      <c r="J67" s="20">
        <f t="shared" ref="J67:J79" si="9">LN(F67)</f>
        <v>4.6277249051559242</v>
      </c>
      <c r="K67" s="18">
        <f t="shared" si="5"/>
        <v>13.230305258469821</v>
      </c>
    </row>
    <row r="68" spans="1:11" x14ac:dyDescent="0.25">
      <c r="A68">
        <v>7</v>
      </c>
      <c r="B68" t="s">
        <v>107</v>
      </c>
      <c r="C68" s="21">
        <v>125247.625</v>
      </c>
      <c r="D68" s="21">
        <f ca="1">SUM(OFFSET('Análisis tendencia'!$J$12, (ROW(A66)-1)*3, 0, 3, 1))</f>
        <v>62522.208333333343</v>
      </c>
      <c r="E68" s="21">
        <f ca="1">SUM(OFFSET('Análisis tendencia'!$K$12, (ROW(A66)-1)*3, 0, 3, 1))</f>
        <v>62725.416666666672</v>
      </c>
      <c r="F68" s="20">
        <v>105.0187</v>
      </c>
      <c r="G68" s="20">
        <f t="shared" si="6"/>
        <v>11.738048056691481</v>
      </c>
      <c r="H68" s="20">
        <f t="shared" ca="1" si="7"/>
        <v>11.043277105941888</v>
      </c>
      <c r="I68" s="20">
        <f t="shared" ca="1" si="8"/>
        <v>11.046522013965317</v>
      </c>
      <c r="J68" s="20">
        <f t="shared" si="9"/>
        <v>4.654138429538544</v>
      </c>
      <c r="K68" s="18">
        <f t="shared" si="5"/>
        <v>13.188029075539156</v>
      </c>
    </row>
    <row r="69" spans="1:11" x14ac:dyDescent="0.25">
      <c r="A69">
        <v>7</v>
      </c>
      <c r="B69" t="s">
        <v>106</v>
      </c>
      <c r="C69" s="21">
        <v>120534.16666666666</v>
      </c>
      <c r="D69" s="21">
        <f ca="1">SUM(OFFSET('Análisis tendencia'!$J$12, (ROW(A67)-1)*3, 0, 3, 1))</f>
        <v>60331.083333333328</v>
      </c>
      <c r="E69" s="21">
        <f ca="1">SUM(OFFSET('Análisis tendencia'!$K$12, (ROW(A67)-1)*3, 0, 3, 1))</f>
        <v>60203.083333333343</v>
      </c>
      <c r="F69" s="20">
        <v>100.0354</v>
      </c>
      <c r="G69" s="20">
        <f t="shared" si="6"/>
        <v>11.699688532524963</v>
      </c>
      <c r="H69" s="20">
        <f t="shared" ca="1" si="7"/>
        <v>11.007602728066779</v>
      </c>
      <c r="I69" s="20">
        <f t="shared" ca="1" si="8"/>
        <v>11.005478848146991</v>
      </c>
      <c r="J69" s="20">
        <f t="shared" si="9"/>
        <v>4.6055241233448747</v>
      </c>
      <c r="K69" s="18">
        <f t="shared" si="5"/>
        <v>13.143549605906287</v>
      </c>
    </row>
    <row r="70" spans="1:11" x14ac:dyDescent="0.25">
      <c r="A70">
        <v>6</v>
      </c>
      <c r="B70" t="s">
        <v>109</v>
      </c>
      <c r="C70" s="21">
        <v>114748.375</v>
      </c>
      <c r="D70" s="21">
        <f ca="1">SUM(OFFSET('Análisis tendencia'!$J$12, (ROW(A68)-1)*3, 0, 3, 1))</f>
        <v>57434.125</v>
      </c>
      <c r="E70" s="21">
        <f ca="1">SUM(OFFSET('Análisis tendencia'!$K$12, (ROW(A68)-1)*3, 0, 3, 1))</f>
        <v>57314.25</v>
      </c>
      <c r="F70" s="20">
        <v>105.3248</v>
      </c>
      <c r="G70" s="20">
        <f t="shared" si="6"/>
        <v>11.650496966602477</v>
      </c>
      <c r="H70" s="20">
        <f t="shared" ca="1" si="7"/>
        <v>10.958393917850415</v>
      </c>
      <c r="I70" s="20">
        <f t="shared" ca="1" si="8"/>
        <v>10.956304562883801</v>
      </c>
      <c r="J70" s="20">
        <f t="shared" si="9"/>
        <v>4.6570489089788722</v>
      </c>
      <c r="K70" s="18">
        <f t="shared" ref="K70:K79" si="10">+LN(SUM(C67:C70))</f>
        <v>13.101990162353912</v>
      </c>
    </row>
    <row r="71" spans="1:11" x14ac:dyDescent="0.25">
      <c r="A71">
        <v>6</v>
      </c>
      <c r="B71" t="s">
        <v>108</v>
      </c>
      <c r="C71" s="21">
        <v>109786.29166666666</v>
      </c>
      <c r="D71" s="21">
        <f ca="1">SUM(OFFSET('Análisis tendencia'!$J$12, (ROW(A69)-1)*3, 0, 3, 1))</f>
        <v>55006.916666666672</v>
      </c>
      <c r="E71" s="21">
        <f ca="1">SUM(OFFSET('Análisis tendencia'!$K$12, (ROW(A69)-1)*3, 0, 3, 1))</f>
        <v>54779.375</v>
      </c>
      <c r="F71" s="20">
        <v>98.821799999999996</v>
      </c>
      <c r="G71" s="20">
        <f t="shared" si="6"/>
        <v>11.606290952054517</v>
      </c>
      <c r="H71" s="20">
        <f t="shared" ca="1" si="7"/>
        <v>10.915214213883544</v>
      </c>
      <c r="I71" s="20">
        <f t="shared" ca="1" si="8"/>
        <v>10.911069033478526</v>
      </c>
      <c r="J71" s="20">
        <f t="shared" si="9"/>
        <v>4.5933182281879619</v>
      </c>
      <c r="K71" s="18">
        <f t="shared" si="10"/>
        <v>13.061161062713825</v>
      </c>
    </row>
    <row r="72" spans="1:11" x14ac:dyDescent="0.25">
      <c r="A72">
        <v>6</v>
      </c>
      <c r="B72" t="s">
        <v>107</v>
      </c>
      <c r="C72" s="21">
        <v>108202.16666666666</v>
      </c>
      <c r="D72" s="21">
        <f ca="1">SUM(OFFSET('Análisis tendencia'!$J$12, (ROW(A70)-1)*3, 0, 3, 1))</f>
        <v>54421.208333333343</v>
      </c>
      <c r="E72" s="21">
        <f ca="1">SUM(OFFSET('Análisis tendencia'!$K$12, (ROW(A70)-1)*3, 0, 3, 1))</f>
        <v>53780.958333333336</v>
      </c>
      <c r="F72" s="20">
        <v>101.4331</v>
      </c>
      <c r="G72" s="20">
        <f t="shared" si="6"/>
        <v>11.591756669839745</v>
      </c>
      <c r="H72" s="20">
        <f t="shared" ca="1" si="7"/>
        <v>10.904509215937361</v>
      </c>
      <c r="I72" s="20">
        <f t="shared" ca="1" si="8"/>
        <v>10.892674749175681</v>
      </c>
      <c r="J72" s="20">
        <f t="shared" si="9"/>
        <v>4.619399467870684</v>
      </c>
      <c r="K72" s="18">
        <f t="shared" si="10"/>
        <v>13.024245459590134</v>
      </c>
    </row>
    <row r="73" spans="1:11" x14ac:dyDescent="0.25">
      <c r="A73">
        <v>6</v>
      </c>
      <c r="B73" t="s">
        <v>106</v>
      </c>
      <c r="C73" s="21">
        <v>111195.375</v>
      </c>
      <c r="D73" s="21">
        <f ca="1">SUM(OFFSET('Análisis tendencia'!$J$12, (ROW(A71)-1)*3, 0, 3, 1))</f>
        <v>55978.416666666672</v>
      </c>
      <c r="E73" s="21">
        <f ca="1">SUM(OFFSET('Análisis tendencia'!$K$12, (ROW(A71)-1)*3, 0, 3, 1))</f>
        <v>55216.958333333328</v>
      </c>
      <c r="F73" s="20">
        <v>96.647900000000007</v>
      </c>
      <c r="G73" s="20">
        <f t="shared" si="6"/>
        <v>11.619044068207041</v>
      </c>
      <c r="H73" s="20">
        <f t="shared" ca="1" si="7"/>
        <v>10.932721478758527</v>
      </c>
      <c r="I73" s="20">
        <f t="shared" ca="1" si="8"/>
        <v>10.919025401267533</v>
      </c>
      <c r="J73" s="20">
        <f t="shared" si="9"/>
        <v>4.5710744775341681</v>
      </c>
      <c r="K73" s="18">
        <f t="shared" si="10"/>
        <v>13.00342714582305</v>
      </c>
    </row>
    <row r="74" spans="1:11" x14ac:dyDescent="0.25">
      <c r="A74">
        <v>5</v>
      </c>
      <c r="B74" t="s">
        <v>109</v>
      </c>
      <c r="C74" s="21">
        <v>112000.25</v>
      </c>
      <c r="D74" s="21">
        <f ca="1">SUM(OFFSET('Análisis tendencia'!$J$12, (ROW(A72)-1)*3, 0, 3, 1))</f>
        <v>56388.25</v>
      </c>
      <c r="E74" s="21">
        <f ca="1">SUM(OFFSET('Análisis tendencia'!$K$12, (ROW(A72)-1)*3, 0, 3, 1))</f>
        <v>55612</v>
      </c>
      <c r="F74" s="20">
        <v>101.25539999999999</v>
      </c>
      <c r="G74" s="20">
        <f t="shared" si="6"/>
        <v>11.626256382417598</v>
      </c>
      <c r="H74" s="20">
        <f t="shared" ca="1" si="7"/>
        <v>10.940016082448414</v>
      </c>
      <c r="I74" s="20">
        <f t="shared" ca="1" si="8"/>
        <v>10.926154284289433</v>
      </c>
      <c r="J74" s="20">
        <f t="shared" si="9"/>
        <v>4.6176460378978099</v>
      </c>
      <c r="K74" s="18">
        <f t="shared" si="10"/>
        <v>12.997217489857002</v>
      </c>
    </row>
    <row r="75" spans="1:11" x14ac:dyDescent="0.25">
      <c r="A75">
        <v>5</v>
      </c>
      <c r="B75" t="s">
        <v>108</v>
      </c>
      <c r="C75" s="21">
        <v>109061.66666666666</v>
      </c>
      <c r="D75" s="21">
        <f ca="1">SUM(OFFSET('Análisis tendencia'!$J$12, (ROW(A73)-1)*3, 0, 3, 1))</f>
        <v>54962.708333333328</v>
      </c>
      <c r="E75" s="21">
        <f ca="1">SUM(OFFSET('Análisis tendencia'!$K$12, (ROW(A73)-1)*3, 0, 3, 1))</f>
        <v>54098.958333333343</v>
      </c>
      <c r="F75" s="20">
        <v>95.277199999999993</v>
      </c>
      <c r="G75" s="20">
        <f t="shared" si="6"/>
        <v>11.59966875047099</v>
      </c>
      <c r="H75" s="20">
        <f t="shared" ca="1" si="7"/>
        <v>10.914410203945076</v>
      </c>
      <c r="I75" s="20">
        <f t="shared" ca="1" si="8"/>
        <v>10.898570210182166</v>
      </c>
      <c r="J75" s="20">
        <f t="shared" si="9"/>
        <v>4.5567905375455471</v>
      </c>
      <c r="K75" s="18">
        <f t="shared" si="10"/>
        <v>12.995573684557193</v>
      </c>
    </row>
    <row r="76" spans="1:11" x14ac:dyDescent="0.25">
      <c r="A76">
        <v>5</v>
      </c>
      <c r="B76" t="s">
        <v>107</v>
      </c>
      <c r="C76" s="21">
        <v>100600.54166666667</v>
      </c>
      <c r="D76" s="21">
        <f ca="1">SUM(OFFSET('Análisis tendencia'!$J$12, (ROW(A74)-1)*3, 0, 3, 1))</f>
        <v>50569.541666666664</v>
      </c>
      <c r="E76" s="21">
        <f ca="1">SUM(OFFSET('Análisis tendencia'!$K$12, (ROW(A74)-1)*3, 0, 3, 1))</f>
        <v>50030.999999999993</v>
      </c>
      <c r="F76" s="20">
        <v>97.760099999999994</v>
      </c>
      <c r="G76" s="20">
        <f t="shared" si="6"/>
        <v>11.518912920993785</v>
      </c>
      <c r="H76" s="20">
        <f t="shared" ca="1" si="7"/>
        <v>10.831104730688418</v>
      </c>
      <c r="I76" s="20">
        <f t="shared" ca="1" si="8"/>
        <v>10.820398092289688</v>
      </c>
      <c r="J76" s="20">
        <f t="shared" si="9"/>
        <v>4.5825165183360186</v>
      </c>
      <c r="K76" s="18">
        <f t="shared" si="10"/>
        <v>12.978164623588482</v>
      </c>
    </row>
    <row r="77" spans="1:11" x14ac:dyDescent="0.25">
      <c r="A77">
        <v>5</v>
      </c>
      <c r="B77" t="s">
        <v>106</v>
      </c>
      <c r="C77" s="21">
        <v>81786.916666666672</v>
      </c>
      <c r="D77" s="21">
        <f ca="1">SUM(OFFSET('Análisis tendencia'!$J$12, (ROW(A75)-1)*3, 0, 3, 1))</f>
        <v>40996.291666666664</v>
      </c>
      <c r="E77" s="21">
        <f ca="1">SUM(OFFSET('Análisis tendencia'!$K$12, (ROW(A75)-1)*3, 0, 3, 1))</f>
        <v>40790.625</v>
      </c>
      <c r="F77" s="20">
        <v>92.303200000000004</v>
      </c>
      <c r="G77" s="20">
        <f t="shared" si="6"/>
        <v>11.311872566848315</v>
      </c>
      <c r="H77" s="20">
        <f t="shared" ca="1" si="7"/>
        <v>10.621236894441383</v>
      </c>
      <c r="I77" s="20">
        <f t="shared" ca="1" si="8"/>
        <v>10.616207554577155</v>
      </c>
      <c r="J77" s="20">
        <f t="shared" si="9"/>
        <v>4.5250788104636275</v>
      </c>
      <c r="K77" s="18">
        <f t="shared" si="10"/>
        <v>12.907806294136774</v>
      </c>
    </row>
    <row r="78" spans="1:11" x14ac:dyDescent="0.25">
      <c r="A78">
        <v>4</v>
      </c>
      <c r="B78" t="s">
        <v>109</v>
      </c>
      <c r="C78" s="21">
        <v>63177.583333333328</v>
      </c>
      <c r="D78" s="21">
        <f ca="1">SUM(OFFSET('Análisis tendencia'!$J$12, (ROW(A76)-1)*3, 0, 3, 1))</f>
        <v>31509.583333333332</v>
      </c>
      <c r="E78" s="21">
        <f ca="1">SUM(OFFSET('Análisis tendencia'!$K$12, (ROW(A76)-1)*3, 0, 3, 1))</f>
        <v>31668</v>
      </c>
      <c r="F78" s="20">
        <v>97.683800000000005</v>
      </c>
      <c r="G78" s="20">
        <f t="shared" si="6"/>
        <v>11.053704823123294</v>
      </c>
      <c r="H78" s="20">
        <f t="shared" ca="1" si="7"/>
        <v>10.358047011348543</v>
      </c>
      <c r="I78" s="20">
        <f t="shared" ca="1" si="8"/>
        <v>10.363061986291324</v>
      </c>
      <c r="J78" s="20">
        <f t="shared" si="9"/>
        <v>4.5817357315846676</v>
      </c>
      <c r="K78" s="18">
        <f t="shared" si="10"/>
        <v>12.778820989394815</v>
      </c>
    </row>
    <row r="79" spans="1:11" x14ac:dyDescent="0.25">
      <c r="A79">
        <v>4</v>
      </c>
      <c r="B79" t="s">
        <v>108</v>
      </c>
      <c r="C79" s="21">
        <v>54390.958333333328</v>
      </c>
      <c r="D79" s="21">
        <f ca="1">SUM(OFFSET('Análisis tendencia'!$J$12, (ROW(A77)-1)*3, 0, 3, 1))</f>
        <v>27033.333333333336</v>
      </c>
      <c r="E79" s="21">
        <f ca="1">SUM(OFFSET('Análisis tendencia'!$K$12, (ROW(A77)-1)*3, 0, 3, 1))</f>
        <v>27357.625</v>
      </c>
      <c r="F79" s="20">
        <v>91.988699999999994</v>
      </c>
      <c r="G79" s="20">
        <f t="shared" si="6"/>
        <v>10.903953211922259</v>
      </c>
      <c r="H79" s="20">
        <f t="shared" ca="1" si="7"/>
        <v>10.204825951435394</v>
      </c>
      <c r="I79" s="20">
        <f t="shared" ca="1" si="8"/>
        <v>10.216750562413111</v>
      </c>
      <c r="J79" s="20">
        <f t="shared" si="9"/>
        <v>4.5216657434183425</v>
      </c>
      <c r="K79" s="18">
        <f t="shared" si="10"/>
        <v>12.611391076215064</v>
      </c>
    </row>
    <row r="80" spans="1:11" x14ac:dyDescent="0.25">
      <c r="I80" s="8"/>
      <c r="J80" s="8"/>
      <c r="K80" s="8"/>
    </row>
    <row r="81" spans="9:11" x14ac:dyDescent="0.25">
      <c r="I81" s="8"/>
      <c r="J81" s="8"/>
      <c r="K81" s="8"/>
    </row>
    <row r="82" spans="9:11" x14ac:dyDescent="0.25">
      <c r="I82" s="8"/>
      <c r="J82" s="8"/>
      <c r="K82" s="8"/>
    </row>
    <row r="83" spans="9:11" x14ac:dyDescent="0.25">
      <c r="I83" s="8"/>
      <c r="J83" s="8"/>
      <c r="K83" s="8"/>
    </row>
    <row r="84" spans="9:11" x14ac:dyDescent="0.25">
      <c r="I84" s="8"/>
      <c r="J84" s="8"/>
      <c r="K84" s="8"/>
    </row>
    <row r="85" spans="9:11" x14ac:dyDescent="0.25">
      <c r="I85" s="8"/>
      <c r="J85" s="8"/>
      <c r="K85" s="8"/>
    </row>
    <row r="86" spans="9:11" x14ac:dyDescent="0.25">
      <c r="I86" s="8"/>
      <c r="J86" s="8"/>
      <c r="K86" s="8"/>
    </row>
    <row r="87" spans="9:11" x14ac:dyDescent="0.25">
      <c r="I87" s="8"/>
      <c r="J87" s="8"/>
      <c r="K87" s="8"/>
    </row>
    <row r="88" spans="9:11" x14ac:dyDescent="0.25">
      <c r="I88" s="8"/>
      <c r="J88" s="8"/>
      <c r="K88" s="8"/>
    </row>
    <row r="89" spans="9:11" x14ac:dyDescent="0.25">
      <c r="I89" s="8"/>
      <c r="J89" s="8"/>
      <c r="K89" s="8"/>
    </row>
    <row r="90" spans="9:11" x14ac:dyDescent="0.25">
      <c r="I90" s="8"/>
      <c r="J90" s="8"/>
      <c r="K90" s="8"/>
    </row>
    <row r="91" spans="9:11" x14ac:dyDescent="0.25">
      <c r="I91" s="8"/>
      <c r="J91" s="8"/>
      <c r="K91" s="8"/>
    </row>
    <row r="92" spans="9:11" x14ac:dyDescent="0.25">
      <c r="I92" s="8"/>
      <c r="J92" s="8"/>
      <c r="K92" s="8"/>
    </row>
    <row r="93" spans="9:11" x14ac:dyDescent="0.25">
      <c r="I93" s="8"/>
      <c r="J93" s="8"/>
      <c r="K93" s="8"/>
    </row>
    <row r="94" spans="9:11" x14ac:dyDescent="0.25">
      <c r="I94" s="8"/>
      <c r="J94" s="8"/>
      <c r="K94" s="8"/>
    </row>
    <row r="95" spans="9:11" x14ac:dyDescent="0.25">
      <c r="I95" s="8"/>
      <c r="J95" s="8"/>
      <c r="K95" s="8"/>
    </row>
    <row r="96" spans="9:11" x14ac:dyDescent="0.25">
      <c r="I96" s="8"/>
      <c r="J96" s="8"/>
      <c r="K96" s="8"/>
    </row>
    <row r="97" spans="9:11" x14ac:dyDescent="0.25">
      <c r="I97" s="8"/>
      <c r="J97" s="8"/>
      <c r="K97" s="8"/>
    </row>
    <row r="98" spans="9:11" x14ac:dyDescent="0.25">
      <c r="I98" s="8"/>
      <c r="J98" s="8"/>
      <c r="K98" s="8"/>
    </row>
    <row r="99" spans="9:11" x14ac:dyDescent="0.25">
      <c r="I99" s="8"/>
      <c r="J99" s="8"/>
      <c r="K99" s="8"/>
    </row>
    <row r="100" spans="9:11" x14ac:dyDescent="0.25">
      <c r="I100" s="8"/>
      <c r="J100" s="8"/>
      <c r="K100" s="8"/>
    </row>
    <row r="101" spans="9:11" x14ac:dyDescent="0.25">
      <c r="I101" s="8"/>
      <c r="J101" s="8"/>
      <c r="K101" s="8"/>
    </row>
    <row r="102" spans="9:11" x14ac:dyDescent="0.25">
      <c r="I102" s="8"/>
      <c r="J102" s="8"/>
      <c r="K102" s="8"/>
    </row>
    <row r="103" spans="9:11" x14ac:dyDescent="0.25">
      <c r="I103" s="8"/>
      <c r="J103" s="8"/>
      <c r="K103" s="8"/>
    </row>
    <row r="104" spans="9:11" x14ac:dyDescent="0.25">
      <c r="I104" s="8"/>
      <c r="J104" s="8"/>
      <c r="K104" s="8"/>
    </row>
    <row r="105" spans="9:11" x14ac:dyDescent="0.25">
      <c r="I105" s="8"/>
      <c r="J105" s="8"/>
      <c r="K105" s="8"/>
    </row>
    <row r="106" spans="9:11" x14ac:dyDescent="0.25">
      <c r="I106" s="8"/>
      <c r="J106" s="8"/>
      <c r="K106" s="8"/>
    </row>
    <row r="107" spans="9:11" x14ac:dyDescent="0.25">
      <c r="I107" s="8"/>
      <c r="J107" s="8"/>
      <c r="K107" s="8"/>
    </row>
    <row r="108" spans="9:11" x14ac:dyDescent="0.25">
      <c r="I108" s="8"/>
      <c r="J108" s="8"/>
      <c r="K108" s="8"/>
    </row>
    <row r="109" spans="9:11" x14ac:dyDescent="0.25">
      <c r="I109" s="8"/>
      <c r="J109" s="8"/>
      <c r="K109" s="8"/>
    </row>
    <row r="110" spans="9:11" x14ac:dyDescent="0.25">
      <c r="I110" s="8"/>
      <c r="J110" s="8"/>
      <c r="K110" s="8"/>
    </row>
    <row r="111" spans="9:11" x14ac:dyDescent="0.25">
      <c r="I111" s="8"/>
      <c r="J111" s="8"/>
      <c r="K111" s="8"/>
    </row>
    <row r="112" spans="9:11" x14ac:dyDescent="0.25">
      <c r="I112" s="8"/>
      <c r="J112" s="8"/>
      <c r="K112" s="8"/>
    </row>
    <row r="113" spans="9:11" x14ac:dyDescent="0.25">
      <c r="I113" s="8"/>
      <c r="J113" s="8"/>
      <c r="K113" s="8"/>
    </row>
    <row r="114" spans="9:11" x14ac:dyDescent="0.25">
      <c r="I114" s="8"/>
      <c r="J114" s="8"/>
      <c r="K114" s="8"/>
    </row>
    <row r="115" spans="9:11" x14ac:dyDescent="0.25">
      <c r="I115" s="8"/>
      <c r="J115" s="8"/>
      <c r="K115" s="8"/>
    </row>
    <row r="116" spans="9:11" x14ac:dyDescent="0.25">
      <c r="I116" s="8"/>
      <c r="J116" s="8"/>
      <c r="K116" s="8"/>
    </row>
    <row r="117" spans="9:11" x14ac:dyDescent="0.25">
      <c r="I117" s="8"/>
      <c r="J117" s="8"/>
      <c r="K117" s="8"/>
    </row>
    <row r="118" spans="9:11" x14ac:dyDescent="0.25">
      <c r="I118" s="8"/>
      <c r="J118" s="8"/>
      <c r="K118" s="8"/>
    </row>
    <row r="119" spans="9:11" x14ac:dyDescent="0.25">
      <c r="I119" s="8"/>
      <c r="J119" s="8"/>
      <c r="K119" s="8"/>
    </row>
    <row r="120" spans="9:11" x14ac:dyDescent="0.25">
      <c r="I120" s="8"/>
      <c r="J120" s="8"/>
      <c r="K120" s="8"/>
    </row>
    <row r="121" spans="9:11" x14ac:dyDescent="0.25">
      <c r="I121" s="8"/>
      <c r="J121" s="8"/>
      <c r="K121" s="8"/>
    </row>
    <row r="122" spans="9:11" x14ac:dyDescent="0.25">
      <c r="I122" s="8"/>
      <c r="J122" s="8"/>
      <c r="K122" s="8"/>
    </row>
    <row r="123" spans="9:11" x14ac:dyDescent="0.25">
      <c r="I123" s="8"/>
      <c r="J123" s="8"/>
      <c r="K123" s="8"/>
    </row>
    <row r="124" spans="9:11" x14ac:dyDescent="0.25">
      <c r="I124" s="8"/>
      <c r="J124" s="8"/>
      <c r="K124" s="8"/>
    </row>
    <row r="125" spans="9:11" x14ac:dyDescent="0.25">
      <c r="I125" s="8"/>
      <c r="J125" s="8"/>
      <c r="K125" s="8"/>
    </row>
    <row r="126" spans="9:11" x14ac:dyDescent="0.25">
      <c r="I126" s="8"/>
      <c r="J126" s="8"/>
      <c r="K126" s="8"/>
    </row>
    <row r="127" spans="9:11" x14ac:dyDescent="0.25">
      <c r="I127" s="8"/>
      <c r="J127" s="8"/>
      <c r="K127" s="8"/>
    </row>
    <row r="128" spans="9:11" x14ac:dyDescent="0.25">
      <c r="I128" s="8"/>
      <c r="J128" s="8"/>
      <c r="K128" s="8"/>
    </row>
    <row r="129" spans="9:11" x14ac:dyDescent="0.25">
      <c r="I129" s="8"/>
      <c r="J129" s="8"/>
      <c r="K129" s="8"/>
    </row>
    <row r="130" spans="9:11" x14ac:dyDescent="0.25">
      <c r="I130" s="8"/>
      <c r="J130" s="8"/>
      <c r="K130" s="8"/>
    </row>
    <row r="131" spans="9:11" x14ac:dyDescent="0.25">
      <c r="I131" s="8"/>
      <c r="J131" s="8"/>
      <c r="K131" s="8"/>
    </row>
    <row r="132" spans="9:11" x14ac:dyDescent="0.25">
      <c r="I132" s="8"/>
      <c r="J132" s="8"/>
      <c r="K132" s="8"/>
    </row>
    <row r="133" spans="9:11" x14ac:dyDescent="0.25">
      <c r="I133" s="8"/>
      <c r="J133" s="8"/>
      <c r="K133" s="8"/>
    </row>
    <row r="134" spans="9:11" x14ac:dyDescent="0.25">
      <c r="I134" s="8"/>
      <c r="J134" s="8"/>
      <c r="K134" s="8"/>
    </row>
    <row r="135" spans="9:11" x14ac:dyDescent="0.25">
      <c r="I135" s="8"/>
      <c r="J135" s="8"/>
      <c r="K135" s="8"/>
    </row>
    <row r="136" spans="9:11" x14ac:dyDescent="0.25">
      <c r="I136" s="8"/>
      <c r="J136" s="8"/>
      <c r="K136" s="8"/>
    </row>
    <row r="137" spans="9:11" x14ac:dyDescent="0.25">
      <c r="I137" s="8"/>
      <c r="J137" s="8"/>
      <c r="K137" s="8"/>
    </row>
    <row r="138" spans="9:11" x14ac:dyDescent="0.25">
      <c r="I138" s="8"/>
      <c r="J138" s="8"/>
      <c r="K138" s="8"/>
    </row>
    <row r="139" spans="9:11" x14ac:dyDescent="0.25">
      <c r="I139" s="8"/>
      <c r="J139" s="8"/>
      <c r="K139" s="8"/>
    </row>
    <row r="140" spans="9:11" x14ac:dyDescent="0.25">
      <c r="I140" s="8"/>
      <c r="J140" s="8"/>
      <c r="K140" s="8"/>
    </row>
    <row r="141" spans="9:11" x14ac:dyDescent="0.25">
      <c r="I141" s="8"/>
      <c r="J141" s="8"/>
      <c r="K141" s="8"/>
    </row>
    <row r="142" spans="9:11" x14ac:dyDescent="0.25">
      <c r="I142" s="8"/>
      <c r="J142" s="8"/>
      <c r="K142" s="8"/>
    </row>
    <row r="143" spans="9:11" x14ac:dyDescent="0.25">
      <c r="I143" s="8"/>
      <c r="J143" s="8"/>
      <c r="K143" s="8"/>
    </row>
    <row r="144" spans="9:11" x14ac:dyDescent="0.25">
      <c r="I144" s="8"/>
      <c r="J144" s="8"/>
      <c r="K144" s="8"/>
    </row>
    <row r="145" spans="9:11" x14ac:dyDescent="0.25">
      <c r="I145" s="8"/>
      <c r="J145" s="8"/>
      <c r="K145" s="8"/>
    </row>
    <row r="146" spans="9:11" x14ac:dyDescent="0.25">
      <c r="I146" s="8"/>
      <c r="J146" s="8"/>
      <c r="K146" s="8"/>
    </row>
    <row r="147" spans="9:11" x14ac:dyDescent="0.25">
      <c r="I147" s="8"/>
      <c r="J147" s="8"/>
      <c r="K147" s="8"/>
    </row>
    <row r="148" spans="9:11" x14ac:dyDescent="0.25">
      <c r="I148" s="8"/>
      <c r="J148" s="8"/>
      <c r="K148" s="8"/>
    </row>
    <row r="149" spans="9:11" x14ac:dyDescent="0.25">
      <c r="I149" s="8"/>
      <c r="J149" s="8"/>
      <c r="K149" s="8"/>
    </row>
    <row r="150" spans="9:11" x14ac:dyDescent="0.25">
      <c r="I150" s="8"/>
      <c r="J150" s="8"/>
      <c r="K150" s="8"/>
    </row>
    <row r="151" spans="9:11" x14ac:dyDescent="0.25">
      <c r="I151" s="8"/>
      <c r="J151" s="8"/>
      <c r="K151" s="8"/>
    </row>
    <row r="152" spans="9:11" x14ac:dyDescent="0.25">
      <c r="I152" s="8"/>
      <c r="J152" s="8"/>
      <c r="K152" s="8"/>
    </row>
    <row r="153" spans="9:11" x14ac:dyDescent="0.25">
      <c r="I153" s="8"/>
      <c r="J153" s="8"/>
      <c r="K153" s="8"/>
    </row>
    <row r="154" spans="9:11" x14ac:dyDescent="0.25">
      <c r="I154" s="8"/>
      <c r="J154" s="8"/>
      <c r="K154" s="8"/>
    </row>
    <row r="155" spans="9:11" x14ac:dyDescent="0.25">
      <c r="I155" s="8"/>
      <c r="J155" s="8"/>
      <c r="K155" s="8"/>
    </row>
    <row r="156" spans="9:11" x14ac:dyDescent="0.25">
      <c r="I156" s="8"/>
      <c r="J156" s="8"/>
      <c r="K156" s="8"/>
    </row>
    <row r="157" spans="9:11" x14ac:dyDescent="0.25">
      <c r="I157" s="8"/>
      <c r="J157" s="8"/>
      <c r="K157" s="8"/>
    </row>
    <row r="158" spans="9:11" x14ac:dyDescent="0.25">
      <c r="I158" s="8"/>
      <c r="J158" s="8"/>
      <c r="K158" s="8"/>
    </row>
    <row r="159" spans="9:11" x14ac:dyDescent="0.25">
      <c r="I159" s="8"/>
      <c r="J159" s="8"/>
      <c r="K159" s="8"/>
    </row>
    <row r="160" spans="9:11" x14ac:dyDescent="0.25">
      <c r="I160" s="8"/>
      <c r="J160" s="8"/>
      <c r="K160" s="8"/>
    </row>
    <row r="161" spans="9:11" x14ac:dyDescent="0.25">
      <c r="I161" s="8"/>
      <c r="J161" s="8"/>
      <c r="K161" s="8"/>
    </row>
    <row r="162" spans="9:11" x14ac:dyDescent="0.25">
      <c r="I162" s="8"/>
      <c r="J162" s="8"/>
      <c r="K162" s="8"/>
    </row>
    <row r="163" spans="9:11" x14ac:dyDescent="0.25">
      <c r="I163" s="8"/>
      <c r="J163" s="8"/>
      <c r="K163" s="8"/>
    </row>
    <row r="164" spans="9:11" x14ac:dyDescent="0.25">
      <c r="I164" s="8"/>
      <c r="J164" s="8"/>
      <c r="K164" s="8"/>
    </row>
    <row r="165" spans="9:11" x14ac:dyDescent="0.25">
      <c r="I165" s="8"/>
      <c r="J165" s="8"/>
      <c r="K165" s="8"/>
    </row>
    <row r="166" spans="9:11" x14ac:dyDescent="0.25">
      <c r="I166" s="8"/>
      <c r="J166" s="8"/>
      <c r="K166" s="8"/>
    </row>
    <row r="167" spans="9:11" x14ac:dyDescent="0.25">
      <c r="I167" s="8"/>
      <c r="J167" s="8"/>
      <c r="K167" s="8"/>
    </row>
    <row r="168" spans="9:11" x14ac:dyDescent="0.25">
      <c r="I168" s="8"/>
      <c r="J168" s="8"/>
      <c r="K168" s="8"/>
    </row>
    <row r="169" spans="9:11" x14ac:dyDescent="0.25">
      <c r="I169" s="8"/>
      <c r="J169" s="8"/>
      <c r="K169" s="8"/>
    </row>
    <row r="170" spans="9:11" x14ac:dyDescent="0.25">
      <c r="I170" s="8"/>
      <c r="J170" s="8"/>
      <c r="K170" s="8"/>
    </row>
    <row r="171" spans="9:11" x14ac:dyDescent="0.25">
      <c r="I171" s="8"/>
      <c r="J171" s="8"/>
      <c r="K171" s="8"/>
    </row>
    <row r="172" spans="9:11" x14ac:dyDescent="0.25">
      <c r="I172" s="8"/>
      <c r="J172" s="8"/>
      <c r="K172" s="8"/>
    </row>
    <row r="173" spans="9:11" x14ac:dyDescent="0.25">
      <c r="I173" s="8"/>
      <c r="J173" s="8"/>
      <c r="K173" s="8"/>
    </row>
    <row r="174" spans="9:11" x14ac:dyDescent="0.25">
      <c r="I174" s="8"/>
      <c r="J174" s="8"/>
      <c r="K174" s="8"/>
    </row>
    <row r="175" spans="9:11" x14ac:dyDescent="0.25">
      <c r="I175" s="8"/>
      <c r="J175" s="8"/>
      <c r="K175" s="8"/>
    </row>
    <row r="176" spans="9:11" x14ac:dyDescent="0.25">
      <c r="I176" s="8"/>
      <c r="J176" s="8"/>
      <c r="K176" s="8"/>
    </row>
    <row r="177" spans="9:11" x14ac:dyDescent="0.25">
      <c r="I177" s="8"/>
      <c r="J177" s="8"/>
      <c r="K177" s="8"/>
    </row>
    <row r="178" spans="9:11" x14ac:dyDescent="0.25">
      <c r="I178" s="8"/>
      <c r="J178" s="8"/>
      <c r="K178" s="8"/>
    </row>
    <row r="179" spans="9:11" x14ac:dyDescent="0.25">
      <c r="I179" s="8"/>
      <c r="J179" s="8"/>
      <c r="K179" s="8"/>
    </row>
    <row r="180" spans="9:11" x14ac:dyDescent="0.25">
      <c r="I180" s="8"/>
      <c r="J180" s="8"/>
      <c r="K180" s="8"/>
    </row>
    <row r="181" spans="9:11" x14ac:dyDescent="0.25">
      <c r="I181" s="8"/>
      <c r="J181" s="8"/>
      <c r="K181" s="8"/>
    </row>
    <row r="182" spans="9:11" x14ac:dyDescent="0.25">
      <c r="I182" s="8"/>
      <c r="J182" s="8"/>
      <c r="K182" s="8"/>
    </row>
    <row r="183" spans="9:11" x14ac:dyDescent="0.25">
      <c r="I183" s="8"/>
      <c r="J183" s="8"/>
      <c r="K183" s="8"/>
    </row>
    <row r="184" spans="9:11" x14ac:dyDescent="0.25">
      <c r="I184" s="8"/>
      <c r="J184" s="8"/>
      <c r="K184" s="8"/>
    </row>
    <row r="185" spans="9:11" x14ac:dyDescent="0.25">
      <c r="I185" s="8"/>
      <c r="J185" s="8"/>
      <c r="K185" s="8"/>
    </row>
    <row r="186" spans="9:11" x14ac:dyDescent="0.25">
      <c r="I186" s="8"/>
      <c r="J186" s="8"/>
      <c r="K186" s="8"/>
    </row>
    <row r="187" spans="9:11" x14ac:dyDescent="0.25">
      <c r="I187" s="8"/>
      <c r="J187" s="8"/>
      <c r="K187" s="8"/>
    </row>
    <row r="188" spans="9:11" x14ac:dyDescent="0.25">
      <c r="I188" s="8"/>
      <c r="J188" s="8"/>
      <c r="K188" s="8"/>
    </row>
    <row r="189" spans="9:11" x14ac:dyDescent="0.25">
      <c r="I189" s="8"/>
      <c r="J189" s="8"/>
      <c r="K189" s="8"/>
    </row>
    <row r="190" spans="9:11" x14ac:dyDescent="0.25">
      <c r="I190" s="8"/>
      <c r="J190" s="8"/>
      <c r="K190" s="8"/>
    </row>
    <row r="191" spans="9:11" x14ac:dyDescent="0.25">
      <c r="I191" s="8"/>
      <c r="J191" s="8"/>
      <c r="K191" s="8"/>
    </row>
    <row r="192" spans="9:11" x14ac:dyDescent="0.25">
      <c r="I192" s="8"/>
      <c r="J192" s="8"/>
      <c r="K192" s="8"/>
    </row>
    <row r="193" spans="9:11" x14ac:dyDescent="0.25">
      <c r="I193" s="8"/>
      <c r="J193" s="8"/>
      <c r="K193" s="8"/>
    </row>
    <row r="194" spans="9:11" x14ac:dyDescent="0.25">
      <c r="I194" s="8"/>
      <c r="J194" s="8"/>
      <c r="K194" s="8"/>
    </row>
    <row r="195" spans="9:11" x14ac:dyDescent="0.25">
      <c r="I195" s="8"/>
      <c r="J195" s="8"/>
      <c r="K195" s="8"/>
    </row>
    <row r="196" spans="9:11" x14ac:dyDescent="0.25">
      <c r="I196" s="8"/>
      <c r="J196" s="8"/>
      <c r="K196" s="8"/>
    </row>
    <row r="197" spans="9:11" x14ac:dyDescent="0.25">
      <c r="I197" s="8"/>
      <c r="J197" s="8"/>
      <c r="K197" s="8"/>
    </row>
    <row r="198" spans="9:11" x14ac:dyDescent="0.25">
      <c r="I198" s="8"/>
      <c r="J198" s="8"/>
      <c r="K198" s="8"/>
    </row>
    <row r="199" spans="9:11" x14ac:dyDescent="0.25">
      <c r="I199" s="8"/>
      <c r="J199" s="8"/>
      <c r="K199" s="8"/>
    </row>
    <row r="200" spans="9:11" x14ac:dyDescent="0.25">
      <c r="I200" s="8"/>
      <c r="J200" s="8"/>
      <c r="K200" s="8"/>
    </row>
    <row r="201" spans="9:11" x14ac:dyDescent="0.25">
      <c r="I201" s="8"/>
      <c r="J201" s="8"/>
      <c r="K201" s="8"/>
    </row>
    <row r="202" spans="9:11" x14ac:dyDescent="0.25">
      <c r="I202" s="8"/>
      <c r="J202" s="8"/>
      <c r="K202" s="8"/>
    </row>
    <row r="203" spans="9:11" x14ac:dyDescent="0.25">
      <c r="I203" s="8"/>
      <c r="J203" s="8"/>
      <c r="K203" s="8"/>
    </row>
    <row r="204" spans="9:11" x14ac:dyDescent="0.25">
      <c r="I204" s="8"/>
      <c r="J204" s="8"/>
      <c r="K204" s="8"/>
    </row>
    <row r="205" spans="9:11" x14ac:dyDescent="0.25">
      <c r="I205" s="8"/>
      <c r="J205" s="8"/>
      <c r="K205" s="8"/>
    </row>
    <row r="206" spans="9:11" x14ac:dyDescent="0.25">
      <c r="I206" s="8"/>
      <c r="J206" s="8"/>
      <c r="K206" s="8"/>
    </row>
    <row r="207" spans="9:11" x14ac:dyDescent="0.25">
      <c r="I207" s="8"/>
      <c r="J207" s="8"/>
      <c r="K207" s="8"/>
    </row>
    <row r="208" spans="9:11" x14ac:dyDescent="0.25">
      <c r="I208" s="8"/>
      <c r="J208" s="8"/>
      <c r="K208" s="8"/>
    </row>
    <row r="209" spans="9:11" x14ac:dyDescent="0.25">
      <c r="I209" s="8"/>
      <c r="J209" s="8"/>
      <c r="K209" s="8"/>
    </row>
    <row r="210" spans="9:11" x14ac:dyDescent="0.25">
      <c r="I210" s="8"/>
      <c r="J210" s="8"/>
      <c r="K210" s="8"/>
    </row>
    <row r="211" spans="9:11" x14ac:dyDescent="0.25">
      <c r="I211" s="8"/>
      <c r="J211" s="8"/>
      <c r="K211" s="8"/>
    </row>
    <row r="212" spans="9:11" x14ac:dyDescent="0.25">
      <c r="I212" s="8"/>
      <c r="J212" s="8"/>
      <c r="K212" s="8"/>
    </row>
    <row r="213" spans="9:11" x14ac:dyDescent="0.25">
      <c r="I213" s="8"/>
      <c r="J213" s="8"/>
      <c r="K213" s="8"/>
    </row>
    <row r="214" spans="9:11" x14ac:dyDescent="0.25">
      <c r="I214" s="8"/>
      <c r="J214" s="8"/>
      <c r="K214" s="8"/>
    </row>
    <row r="215" spans="9:11" x14ac:dyDescent="0.25">
      <c r="I215" s="8"/>
      <c r="J215" s="8"/>
      <c r="K215" s="8"/>
    </row>
    <row r="216" spans="9:11" x14ac:dyDescent="0.25">
      <c r="I216" s="8"/>
      <c r="J216" s="8"/>
      <c r="K216" s="8"/>
    </row>
    <row r="217" spans="9:11" x14ac:dyDescent="0.25">
      <c r="I217" s="8"/>
      <c r="J217" s="8"/>
      <c r="K217" s="8"/>
    </row>
    <row r="218" spans="9:11" x14ac:dyDescent="0.25">
      <c r="I218" s="8"/>
      <c r="J218" s="8"/>
      <c r="K218" s="8"/>
    </row>
    <row r="219" spans="9:11" x14ac:dyDescent="0.25">
      <c r="I219" s="8"/>
      <c r="J219" s="8"/>
      <c r="K219" s="8"/>
    </row>
    <row r="220" spans="9:11" x14ac:dyDescent="0.25">
      <c r="I220" s="8"/>
      <c r="J220" s="8"/>
      <c r="K220" s="8"/>
    </row>
    <row r="221" spans="9:11" x14ac:dyDescent="0.25">
      <c r="I221" s="8"/>
      <c r="J221" s="8"/>
      <c r="K221" s="8"/>
    </row>
    <row r="222" spans="9:11" x14ac:dyDescent="0.25">
      <c r="I222" s="8"/>
      <c r="J222" s="8"/>
      <c r="K222" s="8"/>
    </row>
    <row r="223" spans="9:11" x14ac:dyDescent="0.25">
      <c r="I223" s="8"/>
      <c r="J223" s="8"/>
      <c r="K223" s="8"/>
    </row>
    <row r="224" spans="9:11" x14ac:dyDescent="0.25">
      <c r="I224" s="8"/>
      <c r="J224" s="8"/>
      <c r="K224" s="8"/>
    </row>
    <row r="225" spans="9:11" x14ac:dyDescent="0.25">
      <c r="I225" s="8"/>
      <c r="J225" s="8"/>
      <c r="K225" s="8"/>
    </row>
    <row r="226" spans="9:11" x14ac:dyDescent="0.25">
      <c r="I226" s="8"/>
      <c r="J226" s="8"/>
      <c r="K226" s="8"/>
    </row>
    <row r="227" spans="9:11" x14ac:dyDescent="0.25">
      <c r="I227" s="8"/>
      <c r="J227" s="8"/>
      <c r="K227" s="8"/>
    </row>
    <row r="228" spans="9:11" x14ac:dyDescent="0.25">
      <c r="I228" s="8"/>
      <c r="J228" s="8"/>
      <c r="K228" s="8"/>
    </row>
    <row r="229" spans="9:11" x14ac:dyDescent="0.25">
      <c r="I229" s="8"/>
      <c r="J229" s="8"/>
      <c r="K229" s="8"/>
    </row>
    <row r="230" spans="9:11" x14ac:dyDescent="0.25">
      <c r="I230" s="8"/>
      <c r="J230" s="8"/>
      <c r="K230" s="8"/>
    </row>
    <row r="231" spans="9:11" x14ac:dyDescent="0.25">
      <c r="I231" s="8"/>
      <c r="J231" s="8"/>
      <c r="K231" s="8"/>
    </row>
    <row r="232" spans="9:11" x14ac:dyDescent="0.25">
      <c r="I232" s="8"/>
      <c r="J232" s="8"/>
      <c r="K232" s="8"/>
    </row>
    <row r="233" spans="9:11" x14ac:dyDescent="0.25">
      <c r="I233" s="8"/>
      <c r="J233" s="8"/>
      <c r="K233" s="8"/>
    </row>
    <row r="234" spans="9:11" x14ac:dyDescent="0.25">
      <c r="I234" s="8"/>
      <c r="J234" s="8"/>
      <c r="K234" s="8"/>
    </row>
    <row r="235" spans="9:11" x14ac:dyDescent="0.25">
      <c r="I235" s="8"/>
      <c r="J235" s="8"/>
      <c r="K235" s="8"/>
    </row>
    <row r="236" spans="9:11" x14ac:dyDescent="0.25">
      <c r="I236" s="8"/>
      <c r="J236" s="8"/>
      <c r="K236" s="8"/>
    </row>
    <row r="237" spans="9:11" x14ac:dyDescent="0.25">
      <c r="I237" s="8"/>
      <c r="J237" s="8"/>
      <c r="K237" s="8"/>
    </row>
    <row r="238" spans="9:11" x14ac:dyDescent="0.25">
      <c r="I238" s="8"/>
      <c r="J238" s="8"/>
      <c r="K238" s="8"/>
    </row>
    <row r="239" spans="9:11" x14ac:dyDescent="0.25">
      <c r="I239" s="8"/>
      <c r="J239" s="8"/>
      <c r="K239" s="8"/>
    </row>
    <row r="240" spans="9:11" x14ac:dyDescent="0.25">
      <c r="I240" s="8"/>
      <c r="J240" s="8"/>
      <c r="K240" s="8"/>
    </row>
    <row r="241" spans="9:11" x14ac:dyDescent="0.25">
      <c r="I241" s="8"/>
      <c r="J241" s="8"/>
      <c r="K241" s="8"/>
    </row>
  </sheetData>
  <sortState xmlns:xlrd2="http://schemas.microsoft.com/office/spreadsheetml/2017/richdata2" ref="A2:C79">
    <sortCondition descending="1" ref="A2:A79"/>
    <sortCondition descending="1" ref="B2:B79"/>
  </sortState>
  <mergeCells count="1">
    <mergeCell ref="M24:R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743B-6984-425C-8F1A-1905E204EC7E}">
  <dimension ref="A3:M22"/>
  <sheetViews>
    <sheetView topLeftCell="F1" workbookViewId="0">
      <selection activeCell="K3" sqref="K3"/>
    </sheetView>
  </sheetViews>
  <sheetFormatPr baseColWidth="10" defaultRowHeight="13.2" x14ac:dyDescent="0.25"/>
  <cols>
    <col min="2" max="2" width="18.109375" customWidth="1"/>
  </cols>
  <sheetData>
    <row r="3" spans="1:13" ht="34.200000000000003" customHeight="1" x14ac:dyDescent="0.25">
      <c r="A3" s="28" t="s">
        <v>118</v>
      </c>
      <c r="B3" s="51" t="s">
        <v>120</v>
      </c>
      <c r="C3" s="51" t="s">
        <v>121</v>
      </c>
      <c r="D3" s="51" t="s">
        <v>122</v>
      </c>
      <c r="E3" s="29" t="s">
        <v>142</v>
      </c>
      <c r="F3" s="29" t="s">
        <v>143</v>
      </c>
      <c r="G3" s="29" t="s">
        <v>144</v>
      </c>
      <c r="H3" s="29" t="s">
        <v>146</v>
      </c>
      <c r="I3" s="29" t="s">
        <v>147</v>
      </c>
      <c r="J3" s="29" t="s">
        <v>148</v>
      </c>
      <c r="K3" s="29" t="s">
        <v>149</v>
      </c>
      <c r="L3" s="29" t="s">
        <v>150</v>
      </c>
      <c r="M3" s="29" t="s">
        <v>151</v>
      </c>
    </row>
    <row r="4" spans="1:13" x14ac:dyDescent="0.25">
      <c r="A4" s="17" t="s">
        <v>85</v>
      </c>
      <c r="B4" s="18">
        <v>0.74358787752104361</v>
      </c>
      <c r="C4" s="18">
        <v>0.68403392670556185</v>
      </c>
      <c r="D4" s="18">
        <v>0.71393613295796932</v>
      </c>
      <c r="E4" s="27">
        <f>$F$20*D4/12</f>
        <v>54948.296687758215</v>
      </c>
      <c r="F4" s="27">
        <f>$F$21*D4/12</f>
        <v>62715.039593542613</v>
      </c>
      <c r="G4" s="27">
        <f>$F$22*D4/12</f>
        <v>63615.138788496552</v>
      </c>
      <c r="H4" s="21">
        <f>+E4/31</f>
        <v>1772.5256996051037</v>
      </c>
      <c r="I4" s="21">
        <f t="shared" ref="I4:J15" si="0">+F4/31</f>
        <v>2023.0657933400844</v>
      </c>
      <c r="J4" s="21">
        <f t="shared" si="0"/>
        <v>2052.1012512418242</v>
      </c>
      <c r="K4" s="21">
        <f>+H4*0.11</f>
        <v>194.97782695656142</v>
      </c>
      <c r="L4" s="21">
        <f t="shared" ref="L4:M15" si="1">+I4*0.11</f>
        <v>222.5372372674093</v>
      </c>
      <c r="M4" s="21">
        <f t="shared" si="1"/>
        <v>225.73113763660066</v>
      </c>
    </row>
    <row r="5" spans="1:13" x14ac:dyDescent="0.25">
      <c r="A5" s="17" t="s">
        <v>84</v>
      </c>
      <c r="B5" s="18">
        <v>0.75719911135533025</v>
      </c>
      <c r="C5" s="18">
        <v>0.75695929324405653</v>
      </c>
      <c r="D5" s="18">
        <v>0.7570432211249073</v>
      </c>
      <c r="E5" s="27">
        <f t="shared" ref="E5:E15" si="2">$F$20*D5/12</f>
        <v>58266.045938140684</v>
      </c>
      <c r="F5" s="27">
        <f t="shared" ref="F5:F15" si="3">$F$21*D5/12</f>
        <v>66501.740695153625</v>
      </c>
      <c r="G5" s="27">
        <f t="shared" ref="G5:G15" si="4">$F$22*D5/12</f>
        <v>67456.187406033263</v>
      </c>
      <c r="H5" s="21">
        <f t="shared" ref="H5:H15" si="5">+E5/31</f>
        <v>1879.5498689722801</v>
      </c>
      <c r="I5" s="21">
        <f t="shared" si="0"/>
        <v>2145.2174417791493</v>
      </c>
      <c r="J5" s="21">
        <f t="shared" si="0"/>
        <v>2176.0060453559117</v>
      </c>
      <c r="K5" s="21">
        <f t="shared" ref="K5:K15" si="6">+H5*0.11</f>
        <v>206.75048558695082</v>
      </c>
      <c r="L5" s="21">
        <f t="shared" si="1"/>
        <v>235.97391859570644</v>
      </c>
      <c r="M5" s="21">
        <f t="shared" si="1"/>
        <v>239.36066498915028</v>
      </c>
    </row>
    <row r="6" spans="1:13" x14ac:dyDescent="0.25">
      <c r="A6" s="17" t="s">
        <v>83</v>
      </c>
      <c r="B6" s="18">
        <v>0.99245766115605472</v>
      </c>
      <c r="C6" s="18">
        <v>0.96984143051847893</v>
      </c>
      <c r="D6" s="18">
        <v>0.98119280585156765</v>
      </c>
      <c r="E6" s="27">
        <f t="shared" si="2"/>
        <v>75517.782214561128</v>
      </c>
      <c r="F6" s="27">
        <f t="shared" si="3"/>
        <v>86191.947468644154</v>
      </c>
      <c r="G6" s="27">
        <f t="shared" si="4"/>
        <v>87428.992091925014</v>
      </c>
      <c r="H6" s="21">
        <f t="shared" si="5"/>
        <v>2436.0574907922946</v>
      </c>
      <c r="I6" s="21">
        <f t="shared" si="0"/>
        <v>2780.3854022143273</v>
      </c>
      <c r="J6" s="21">
        <f t="shared" si="0"/>
        <v>2820.2900674814523</v>
      </c>
      <c r="K6" s="21">
        <f t="shared" si="6"/>
        <v>267.96632398715241</v>
      </c>
      <c r="L6" s="21">
        <f t="shared" si="1"/>
        <v>305.842394243576</v>
      </c>
      <c r="M6" s="21">
        <f t="shared" si="1"/>
        <v>310.23190742295975</v>
      </c>
    </row>
    <row r="7" spans="1:13" x14ac:dyDescent="0.25">
      <c r="A7" s="17" t="s">
        <v>82</v>
      </c>
      <c r="B7" s="18">
        <v>1.0422500025706867</v>
      </c>
      <c r="C7" s="18">
        <v>1.0565451240102308</v>
      </c>
      <c r="D7" s="18">
        <v>1.0493758388704655</v>
      </c>
      <c r="E7" s="27">
        <f t="shared" si="2"/>
        <v>80765.508662963446</v>
      </c>
      <c r="F7" s="27">
        <f t="shared" si="3"/>
        <v>92181.421061570916</v>
      </c>
      <c r="G7" s="27">
        <f t="shared" si="4"/>
        <v>93504.427846306688</v>
      </c>
      <c r="H7" s="21">
        <f t="shared" si="5"/>
        <v>2605.338989127853</v>
      </c>
      <c r="I7" s="21">
        <f t="shared" si="0"/>
        <v>2973.5942277926101</v>
      </c>
      <c r="J7" s="21">
        <f t="shared" si="0"/>
        <v>3016.2718660098931</v>
      </c>
      <c r="K7" s="21">
        <f t="shared" si="6"/>
        <v>286.5872888040638</v>
      </c>
      <c r="L7" s="21">
        <f t="shared" si="1"/>
        <v>327.09536505718711</v>
      </c>
      <c r="M7" s="21">
        <f t="shared" si="1"/>
        <v>331.78990526108822</v>
      </c>
    </row>
    <row r="8" spans="1:13" x14ac:dyDescent="0.25">
      <c r="A8" s="17" t="s">
        <v>93</v>
      </c>
      <c r="B8" s="18">
        <v>0.89211971250199162</v>
      </c>
      <c r="C8" s="18">
        <v>0.92270124079158933</v>
      </c>
      <c r="D8" s="18">
        <v>0.90735569806621519</v>
      </c>
      <c r="E8" s="27">
        <f t="shared" si="2"/>
        <v>69834.888300303413</v>
      </c>
      <c r="F8" s="27">
        <f t="shared" si="3"/>
        <v>79705.797063221733</v>
      </c>
      <c r="G8" s="27">
        <f t="shared" si="4"/>
        <v>80849.751116902247</v>
      </c>
      <c r="H8" s="21">
        <f t="shared" si="5"/>
        <v>2252.738332267852</v>
      </c>
      <c r="I8" s="21">
        <f t="shared" si="0"/>
        <v>2571.1547439748947</v>
      </c>
      <c r="J8" s="21">
        <f t="shared" si="0"/>
        <v>2608.0564876420081</v>
      </c>
      <c r="K8" s="21">
        <f t="shared" si="6"/>
        <v>247.80121654946373</v>
      </c>
      <c r="L8" s="21">
        <f t="shared" si="1"/>
        <v>282.82702183723842</v>
      </c>
      <c r="M8" s="21">
        <f t="shared" si="1"/>
        <v>286.88621364062089</v>
      </c>
    </row>
    <row r="9" spans="1:13" x14ac:dyDescent="0.25">
      <c r="A9" s="17" t="s">
        <v>92</v>
      </c>
      <c r="B9" s="18">
        <v>1.0518865150773737</v>
      </c>
      <c r="C9" s="18">
        <v>0.98312287065133785</v>
      </c>
      <c r="D9" s="18">
        <v>1.0176584593529394</v>
      </c>
      <c r="E9" s="27">
        <f t="shared" si="2"/>
        <v>78324.371564794128</v>
      </c>
      <c r="F9" s="27">
        <f t="shared" si="3"/>
        <v>89395.238067857412</v>
      </c>
      <c r="G9" s="27">
        <f t="shared" si="4"/>
        <v>90678.256979096041</v>
      </c>
      <c r="H9" s="21">
        <f t="shared" si="5"/>
        <v>2526.5926311223911</v>
      </c>
      <c r="I9" s="21">
        <f t="shared" si="0"/>
        <v>2883.7173570276586</v>
      </c>
      <c r="J9" s="21">
        <f t="shared" si="0"/>
        <v>2925.1050638418078</v>
      </c>
      <c r="K9" s="21">
        <f t="shared" si="6"/>
        <v>277.92518942346305</v>
      </c>
      <c r="L9" s="21">
        <f t="shared" si="1"/>
        <v>317.20890927304248</v>
      </c>
      <c r="M9" s="21">
        <f t="shared" si="1"/>
        <v>321.76155702259888</v>
      </c>
    </row>
    <row r="10" spans="1:13" x14ac:dyDescent="0.25">
      <c r="A10" s="17" t="s">
        <v>91</v>
      </c>
      <c r="B10" s="18">
        <v>1.367850707536042</v>
      </c>
      <c r="C10" s="18">
        <v>1.3282056031120022</v>
      </c>
      <c r="D10" s="18">
        <v>1.3480227013876451</v>
      </c>
      <c r="E10" s="27">
        <f t="shared" si="2"/>
        <v>103750.94902507526</v>
      </c>
      <c r="F10" s="27">
        <f t="shared" si="3"/>
        <v>118415.77024579248</v>
      </c>
      <c r="G10" s="27">
        <f t="shared" si="4"/>
        <v>120115.29782576171</v>
      </c>
      <c r="H10" s="21">
        <f t="shared" si="5"/>
        <v>3346.804807260492</v>
      </c>
      <c r="I10" s="21">
        <f t="shared" si="0"/>
        <v>3819.8635563158864</v>
      </c>
      <c r="J10" s="21">
        <f t="shared" si="0"/>
        <v>3874.6870266374744</v>
      </c>
      <c r="K10" s="21">
        <f t="shared" si="6"/>
        <v>368.14852879865413</v>
      </c>
      <c r="L10" s="21">
        <f t="shared" si="1"/>
        <v>420.18499119474751</v>
      </c>
      <c r="M10" s="21">
        <f t="shared" si="1"/>
        <v>426.21557293012216</v>
      </c>
    </row>
    <row r="11" spans="1:13" x14ac:dyDescent="0.25">
      <c r="A11" s="17" t="s">
        <v>90</v>
      </c>
      <c r="B11" s="18">
        <v>1.4155537158150429</v>
      </c>
      <c r="C11" s="18">
        <v>1.4323407621832516</v>
      </c>
      <c r="D11" s="18">
        <v>1.4239157082594656</v>
      </c>
      <c r="E11" s="27">
        <f t="shared" si="2"/>
        <v>109592.07579483405</v>
      </c>
      <c r="F11" s="27">
        <f t="shared" si="3"/>
        <v>125082.51914827368</v>
      </c>
      <c r="G11" s="27">
        <f t="shared" si="4"/>
        <v>126877.72928475526</v>
      </c>
      <c r="H11" s="21">
        <f t="shared" si="5"/>
        <v>3535.2282514462595</v>
      </c>
      <c r="I11" s="21">
        <f t="shared" si="0"/>
        <v>4034.9199725249578</v>
      </c>
      <c r="J11" s="21">
        <f t="shared" si="0"/>
        <v>4092.8299769275891</v>
      </c>
      <c r="K11" s="31">
        <f t="shared" si="6"/>
        <v>388.87510765908854</v>
      </c>
      <c r="L11" s="31">
        <f t="shared" si="1"/>
        <v>443.84119697774537</v>
      </c>
      <c r="M11" s="31">
        <f t="shared" si="1"/>
        <v>450.21129746203479</v>
      </c>
    </row>
    <row r="12" spans="1:13" x14ac:dyDescent="0.25">
      <c r="A12" s="17" t="s">
        <v>89</v>
      </c>
      <c r="B12" s="18">
        <v>1.0916914021456832</v>
      </c>
      <c r="C12" s="18">
        <v>1.1601595185398657</v>
      </c>
      <c r="D12" s="18">
        <v>1.1258201925249749</v>
      </c>
      <c r="E12" s="27">
        <f t="shared" si="2"/>
        <v>86649.069994014877</v>
      </c>
      <c r="F12" s="27">
        <f t="shared" si="3"/>
        <v>98896.602497033542</v>
      </c>
      <c r="G12" s="27">
        <f t="shared" si="4"/>
        <v>100315.98695199327</v>
      </c>
      <c r="H12" s="21">
        <f t="shared" si="5"/>
        <v>2795.1312901295123</v>
      </c>
      <c r="I12" s="21">
        <f t="shared" si="0"/>
        <v>3190.2129837752755</v>
      </c>
      <c r="J12" s="21">
        <f t="shared" si="0"/>
        <v>3235.9995790965572</v>
      </c>
      <c r="K12" s="21">
        <f t="shared" si="6"/>
        <v>307.46444191424638</v>
      </c>
      <c r="L12" s="21">
        <f t="shared" si="1"/>
        <v>350.9234282152803</v>
      </c>
      <c r="M12" s="21">
        <f t="shared" si="1"/>
        <v>355.95995370062127</v>
      </c>
    </row>
    <row r="13" spans="1:13" x14ac:dyDescent="0.25">
      <c r="A13" s="17" t="s">
        <v>88</v>
      </c>
      <c r="B13" s="18">
        <v>0.97593269012611272</v>
      </c>
      <c r="C13" s="18">
        <v>0.9850353503105177</v>
      </c>
      <c r="D13" s="18">
        <v>0.98047811817118424</v>
      </c>
      <c r="E13" s="27">
        <f t="shared" si="2"/>
        <v>75462.776074812908</v>
      </c>
      <c r="F13" s="27">
        <f t="shared" si="3"/>
        <v>86129.166410082849</v>
      </c>
      <c r="G13" s="27">
        <f t="shared" si="4"/>
        <v>87365.3099866509</v>
      </c>
      <c r="H13" s="21">
        <f t="shared" si="5"/>
        <v>2434.283099187513</v>
      </c>
      <c r="I13" s="21">
        <f t="shared" si="0"/>
        <v>2778.3602067768661</v>
      </c>
      <c r="J13" s="21">
        <f t="shared" si="0"/>
        <v>2818.2358060209967</v>
      </c>
      <c r="K13" s="21">
        <f t="shared" si="6"/>
        <v>267.77114091062646</v>
      </c>
      <c r="L13" s="21">
        <f t="shared" si="1"/>
        <v>305.61962274545527</v>
      </c>
      <c r="M13" s="21">
        <f t="shared" si="1"/>
        <v>310.00593866230963</v>
      </c>
    </row>
    <row r="14" spans="1:13" x14ac:dyDescent="0.25">
      <c r="A14" s="17" t="s">
        <v>87</v>
      </c>
      <c r="B14" s="18">
        <v>0.79286880434604223</v>
      </c>
      <c r="C14" s="18">
        <v>0.77084567898694734</v>
      </c>
      <c r="D14" s="18">
        <v>0.7819128476398638</v>
      </c>
      <c r="E14" s="27">
        <f t="shared" si="2"/>
        <v>60180.143786915643</v>
      </c>
      <c r="F14" s="27">
        <f t="shared" si="3"/>
        <v>68686.389348668323</v>
      </c>
      <c r="G14" s="27">
        <f t="shared" si="4"/>
        <v>69672.190588015612</v>
      </c>
      <c r="H14" s="21">
        <f t="shared" si="5"/>
        <v>1941.2949608682466</v>
      </c>
      <c r="I14" s="21">
        <f t="shared" si="0"/>
        <v>2215.6899789893009</v>
      </c>
      <c r="J14" s="21">
        <f t="shared" si="0"/>
        <v>2247.4900189682457</v>
      </c>
      <c r="K14" s="21">
        <f t="shared" si="6"/>
        <v>213.54244569550713</v>
      </c>
      <c r="L14" s="21">
        <f t="shared" si="1"/>
        <v>243.7258976888231</v>
      </c>
      <c r="M14" s="21">
        <f t="shared" si="1"/>
        <v>247.22390208650702</v>
      </c>
    </row>
    <row r="15" spans="1:13" x14ac:dyDescent="0.25">
      <c r="A15" s="17" t="s">
        <v>86</v>
      </c>
      <c r="B15" s="18">
        <v>0.84778507332414021</v>
      </c>
      <c r="C15" s="18">
        <v>0.91928250222887986</v>
      </c>
      <c r="D15" s="18">
        <v>0.88341569176116841</v>
      </c>
      <c r="E15" s="27">
        <f t="shared" si="2"/>
        <v>67992.338934288971</v>
      </c>
      <c r="F15" s="27">
        <f t="shared" si="3"/>
        <v>77602.810011606765</v>
      </c>
      <c r="G15" s="27">
        <f t="shared" si="4"/>
        <v>78716.581560988081</v>
      </c>
      <c r="H15" s="21">
        <f t="shared" si="5"/>
        <v>2193.3012559448057</v>
      </c>
      <c r="I15" s="21">
        <f t="shared" si="0"/>
        <v>2503.3164519873148</v>
      </c>
      <c r="J15" s="21">
        <f t="shared" si="0"/>
        <v>2539.2445664834863</v>
      </c>
      <c r="K15" s="21">
        <f t="shared" si="6"/>
        <v>241.26313815392862</v>
      </c>
      <c r="L15" s="21">
        <f t="shared" si="1"/>
        <v>275.36480971860465</v>
      </c>
      <c r="M15" s="21">
        <f t="shared" si="1"/>
        <v>279.3169023131835</v>
      </c>
    </row>
    <row r="19" spans="1:6" x14ac:dyDescent="0.25">
      <c r="E19" s="19" t="s">
        <v>139</v>
      </c>
      <c r="F19" s="19" t="s">
        <v>140</v>
      </c>
    </row>
    <row r="20" spans="1:6" x14ac:dyDescent="0.25">
      <c r="A20" s="24" t="s">
        <v>136</v>
      </c>
      <c r="B20" s="24"/>
      <c r="C20" s="24"/>
      <c r="D20" s="24"/>
      <c r="E20">
        <v>1.0718369235500867E-2</v>
      </c>
      <c r="F20" s="27">
        <v>923583.39886954206</v>
      </c>
    </row>
    <row r="21" spans="1:6" x14ac:dyDescent="0.25">
      <c r="A21" s="24" t="s">
        <v>137</v>
      </c>
      <c r="B21" s="24"/>
      <c r="C21" s="24"/>
      <c r="D21" s="24"/>
      <c r="E21">
        <v>1.6077553853251301E-2</v>
      </c>
      <c r="F21" s="27">
        <v>1054128.5703028245</v>
      </c>
    </row>
    <row r="22" spans="1:6" x14ac:dyDescent="0.25">
      <c r="A22" s="24" t="s">
        <v>138</v>
      </c>
      <c r="B22" s="24"/>
      <c r="C22" s="24"/>
      <c r="D22" s="24"/>
      <c r="E22">
        <v>1.6656890817113228E-2</v>
      </c>
      <c r="F22" s="27">
        <v>1069257.6411549971</v>
      </c>
    </row>
  </sheetData>
  <conditionalFormatting sqref="E4:E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2C28-019F-4B64-B978-F62E1BAA2E0E}">
  <dimension ref="A1:A45"/>
  <sheetViews>
    <sheetView workbookViewId="0">
      <selection activeCell="A2" sqref="A2"/>
    </sheetView>
  </sheetViews>
  <sheetFormatPr baseColWidth="10" defaultRowHeight="13.2" x14ac:dyDescent="0.25"/>
  <cols>
    <col min="1" max="1" width="12.44140625" bestFit="1" customWidth="1"/>
  </cols>
  <sheetData>
    <row r="1" spans="1:1" x14ac:dyDescent="0.25">
      <c r="A1" t="s">
        <v>153</v>
      </c>
    </row>
    <row r="2" spans="1:1" x14ac:dyDescent="0.25">
      <c r="A2">
        <v>1050</v>
      </c>
    </row>
    <row r="3" spans="1:1" x14ac:dyDescent="0.25">
      <c r="A3">
        <v>1127</v>
      </c>
    </row>
    <row r="4" spans="1:1" x14ac:dyDescent="0.25">
      <c r="A4">
        <v>894</v>
      </c>
    </row>
    <row r="5" spans="1:1" x14ac:dyDescent="0.25">
      <c r="A5">
        <v>962</v>
      </c>
    </row>
    <row r="6" spans="1:1" x14ac:dyDescent="0.25">
      <c r="A6">
        <v>987</v>
      </c>
    </row>
    <row r="7" spans="1:1" x14ac:dyDescent="0.25">
      <c r="A7">
        <v>946</v>
      </c>
    </row>
    <row r="8" spans="1:1" x14ac:dyDescent="0.25">
      <c r="A8">
        <v>796</v>
      </c>
    </row>
    <row r="9" spans="1:1" x14ac:dyDescent="0.25">
      <c r="A9">
        <v>745</v>
      </c>
    </row>
    <row r="10" spans="1:1" x14ac:dyDescent="0.25">
      <c r="A10">
        <v>853</v>
      </c>
    </row>
    <row r="11" spans="1:1" x14ac:dyDescent="0.25">
      <c r="A11">
        <v>923</v>
      </c>
    </row>
    <row r="12" spans="1:1" x14ac:dyDescent="0.25">
      <c r="A12">
        <v>1081</v>
      </c>
    </row>
    <row r="13" spans="1:1" x14ac:dyDescent="0.25">
      <c r="A13">
        <v>996</v>
      </c>
    </row>
    <row r="14" spans="1:1" x14ac:dyDescent="0.25">
      <c r="A14">
        <v>849</v>
      </c>
    </row>
    <row r="15" spans="1:1" x14ac:dyDescent="0.25">
      <c r="A15">
        <v>932</v>
      </c>
    </row>
    <row r="16" spans="1:1" x14ac:dyDescent="0.25">
      <c r="A16">
        <v>897</v>
      </c>
    </row>
    <row r="17" spans="1:1" x14ac:dyDescent="0.25">
      <c r="A17">
        <v>982</v>
      </c>
    </row>
    <row r="18" spans="1:1" x14ac:dyDescent="0.25">
      <c r="A18">
        <v>930</v>
      </c>
    </row>
    <row r="19" spans="1:1" x14ac:dyDescent="0.25">
      <c r="A19">
        <v>718</v>
      </c>
    </row>
    <row r="20" spans="1:1" x14ac:dyDescent="0.25">
      <c r="A20">
        <v>673</v>
      </c>
    </row>
    <row r="21" spans="1:1" x14ac:dyDescent="0.25">
      <c r="A21">
        <v>674</v>
      </c>
    </row>
    <row r="22" spans="1:1" x14ac:dyDescent="0.25">
      <c r="A22">
        <v>813</v>
      </c>
    </row>
    <row r="23" spans="1:1" x14ac:dyDescent="0.25">
      <c r="A23">
        <v>931</v>
      </c>
    </row>
    <row r="24" spans="1:1" x14ac:dyDescent="0.25">
      <c r="A24">
        <v>991</v>
      </c>
    </row>
    <row r="25" spans="1:1" x14ac:dyDescent="0.25">
      <c r="A25">
        <v>957</v>
      </c>
    </row>
    <row r="26" spans="1:1" x14ac:dyDescent="0.25">
      <c r="A26">
        <v>929</v>
      </c>
    </row>
    <row r="27" spans="1:1" x14ac:dyDescent="0.25">
      <c r="A27">
        <v>952</v>
      </c>
    </row>
    <row r="28" spans="1:1" x14ac:dyDescent="0.25">
      <c r="A28">
        <v>905</v>
      </c>
    </row>
    <row r="29" spans="1:1" x14ac:dyDescent="0.25">
      <c r="A29">
        <v>958</v>
      </c>
    </row>
    <row r="30" spans="1:1" x14ac:dyDescent="0.25">
      <c r="A30">
        <v>866</v>
      </c>
    </row>
    <row r="31" spans="1:1" x14ac:dyDescent="0.25">
      <c r="A31">
        <v>755</v>
      </c>
    </row>
    <row r="32" spans="1:1" x14ac:dyDescent="0.25">
      <c r="A32">
        <v>664</v>
      </c>
    </row>
    <row r="33" spans="1:1" x14ac:dyDescent="0.25">
      <c r="A33">
        <v>658</v>
      </c>
    </row>
    <row r="34" spans="1:1" x14ac:dyDescent="0.25">
      <c r="A34">
        <v>727</v>
      </c>
    </row>
    <row r="35" spans="1:1" x14ac:dyDescent="0.25">
      <c r="A35">
        <v>738</v>
      </c>
    </row>
    <row r="36" spans="1:1" x14ac:dyDescent="0.25">
      <c r="A36">
        <v>869</v>
      </c>
    </row>
    <row r="37" spans="1:1" x14ac:dyDescent="0.25">
      <c r="A37">
        <v>938</v>
      </c>
    </row>
    <row r="38" spans="1:1" x14ac:dyDescent="0.25">
      <c r="A38">
        <v>913</v>
      </c>
    </row>
    <row r="39" spans="1:1" x14ac:dyDescent="0.25">
      <c r="A39">
        <v>918</v>
      </c>
    </row>
    <row r="40" spans="1:1" x14ac:dyDescent="0.25">
      <c r="A40">
        <v>823</v>
      </c>
    </row>
    <row r="41" spans="1:1" x14ac:dyDescent="0.25">
      <c r="A41">
        <v>783</v>
      </c>
    </row>
    <row r="42" spans="1:1" x14ac:dyDescent="0.25">
      <c r="A42">
        <v>835</v>
      </c>
    </row>
    <row r="43" spans="1:1" x14ac:dyDescent="0.25">
      <c r="A43">
        <v>820</v>
      </c>
    </row>
    <row r="44" spans="1:1" x14ac:dyDescent="0.25">
      <c r="A44">
        <v>706</v>
      </c>
    </row>
    <row r="45" spans="1:1" x14ac:dyDescent="0.25">
      <c r="A45">
        <v>646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C92C-BA65-4111-BDEC-4744C894BB7F}">
  <dimension ref="A1:Q246"/>
  <sheetViews>
    <sheetView tabSelected="1" topLeftCell="J2" zoomScale="128" workbookViewId="0">
      <selection activeCell="K5" sqref="K5"/>
    </sheetView>
  </sheetViews>
  <sheetFormatPr baseColWidth="10" defaultRowHeight="13.2" x14ac:dyDescent="0.25"/>
  <cols>
    <col min="1" max="1" width="17.109375" bestFit="1" customWidth="1"/>
    <col min="2" max="2" width="11.5546875" bestFit="1" customWidth="1"/>
    <col min="3" max="3" width="23.88671875" bestFit="1" customWidth="1"/>
    <col min="14" max="16" width="12.5546875" bestFit="1" customWidth="1"/>
    <col min="47" max="47" width="14.33203125" customWidth="1"/>
    <col min="48" max="48" width="16.44140625" customWidth="1"/>
    <col min="51" max="54" width="12.5546875" bestFit="1" customWidth="1"/>
  </cols>
  <sheetData>
    <row r="1" spans="1:17" ht="15.6" x14ac:dyDescent="0.3">
      <c r="F1" s="36" t="s">
        <v>80</v>
      </c>
      <c r="G1" s="36" t="s">
        <v>79</v>
      </c>
      <c r="H1" s="36" t="s">
        <v>81</v>
      </c>
      <c r="I1" s="37" t="s">
        <v>114</v>
      </c>
      <c r="J1" s="36" t="s">
        <v>152</v>
      </c>
      <c r="K1" s="35"/>
    </row>
    <row r="2" spans="1:17" x14ac:dyDescent="0.25">
      <c r="F2" s="32">
        <v>26</v>
      </c>
      <c r="G2" s="32" t="s">
        <v>82</v>
      </c>
      <c r="H2" s="32" t="s">
        <v>107</v>
      </c>
      <c r="I2" s="33">
        <v>63063</v>
      </c>
      <c r="J2" s="14">
        <v>987</v>
      </c>
      <c r="K2" s="32">
        <f>+I2/J2</f>
        <v>63.893617021276597</v>
      </c>
      <c r="M2" s="21">
        <f>+AVERAGE(K2:K41)</f>
        <v>67.420235275607567</v>
      </c>
    </row>
    <row r="3" spans="1:17" x14ac:dyDescent="0.25">
      <c r="A3" s="16" t="s">
        <v>80</v>
      </c>
      <c r="B3" s="16" t="s">
        <v>81</v>
      </c>
      <c r="C3" t="s">
        <v>124</v>
      </c>
      <c r="F3" s="32">
        <v>26</v>
      </c>
      <c r="G3" s="32" t="s">
        <v>83</v>
      </c>
      <c r="H3" s="32" t="s">
        <v>106</v>
      </c>
      <c r="I3" s="33">
        <v>53833</v>
      </c>
      <c r="J3" s="14">
        <v>946</v>
      </c>
      <c r="K3" s="32">
        <f t="shared" ref="K3:K41" si="0">+I3/J3</f>
        <v>56.905919661733613</v>
      </c>
      <c r="M3" s="19" t="s">
        <v>155</v>
      </c>
    </row>
    <row r="4" spans="1:17" x14ac:dyDescent="0.25">
      <c r="A4">
        <v>4</v>
      </c>
      <c r="B4" t="s">
        <v>108</v>
      </c>
      <c r="C4">
        <v>54390.958333333328</v>
      </c>
      <c r="F4" s="32">
        <v>26</v>
      </c>
      <c r="G4" s="32" t="s">
        <v>84</v>
      </c>
      <c r="H4" s="32" t="s">
        <v>106</v>
      </c>
      <c r="I4" s="33">
        <v>43485</v>
      </c>
      <c r="J4" s="14">
        <v>796</v>
      </c>
      <c r="K4" s="32">
        <f t="shared" si="0"/>
        <v>54.629396984924625</v>
      </c>
      <c r="M4" s="19" t="s">
        <v>156</v>
      </c>
    </row>
    <row r="5" spans="1:17" x14ac:dyDescent="0.25">
      <c r="A5">
        <v>4</v>
      </c>
      <c r="B5" t="s">
        <v>109</v>
      </c>
      <c r="C5">
        <v>63177.583333333328</v>
      </c>
      <c r="F5" s="32">
        <v>26</v>
      </c>
      <c r="G5" s="32" t="s">
        <v>85</v>
      </c>
      <c r="H5" s="32" t="s">
        <v>106</v>
      </c>
      <c r="I5" s="33">
        <v>46335</v>
      </c>
      <c r="J5" s="14">
        <v>745</v>
      </c>
      <c r="K5" s="32">
        <f t="shared" si="0"/>
        <v>62.194630872483224</v>
      </c>
    </row>
    <row r="6" spans="1:17" x14ac:dyDescent="0.25">
      <c r="A6">
        <v>5</v>
      </c>
      <c r="B6" t="s">
        <v>106</v>
      </c>
      <c r="C6">
        <v>81786.916666666672</v>
      </c>
      <c r="F6" s="32">
        <v>25</v>
      </c>
      <c r="G6" s="32" t="s">
        <v>86</v>
      </c>
      <c r="H6" s="32" t="s">
        <v>109</v>
      </c>
      <c r="I6" s="33">
        <v>51192</v>
      </c>
      <c r="J6" s="14">
        <v>853</v>
      </c>
      <c r="K6" s="32">
        <f t="shared" si="0"/>
        <v>60.014067995310668</v>
      </c>
    </row>
    <row r="7" spans="1:17" x14ac:dyDescent="0.25">
      <c r="A7">
        <v>5</v>
      </c>
      <c r="B7" t="s">
        <v>107</v>
      </c>
      <c r="C7">
        <v>100600.54166666667</v>
      </c>
      <c r="F7" s="32">
        <v>25</v>
      </c>
      <c r="G7" s="32" t="s">
        <v>87</v>
      </c>
      <c r="H7" s="32" t="s">
        <v>109</v>
      </c>
      <c r="I7" s="33">
        <v>47899</v>
      </c>
      <c r="J7" s="14">
        <v>923</v>
      </c>
      <c r="K7" s="32">
        <f t="shared" si="0"/>
        <v>51.894907908992415</v>
      </c>
      <c r="N7" s="19" t="s">
        <v>157</v>
      </c>
      <c r="O7" s="19" t="s">
        <v>158</v>
      </c>
      <c r="P7" s="19" t="s">
        <v>159</v>
      </c>
    </row>
    <row r="8" spans="1:17" x14ac:dyDescent="0.25">
      <c r="A8">
        <v>5</v>
      </c>
      <c r="B8" t="s">
        <v>108</v>
      </c>
      <c r="C8">
        <v>109061.66666666666</v>
      </c>
      <c r="F8" s="32">
        <v>25</v>
      </c>
      <c r="G8" s="32" t="s">
        <v>88</v>
      </c>
      <c r="H8" s="32" t="s">
        <v>109</v>
      </c>
      <c r="I8" s="33">
        <v>66268</v>
      </c>
      <c r="J8" s="14">
        <v>1081</v>
      </c>
      <c r="K8" s="32">
        <f t="shared" si="0"/>
        <v>61.30249768732655</v>
      </c>
      <c r="N8" s="42">
        <v>388.87510765908854</v>
      </c>
      <c r="O8" s="42">
        <v>443.84119697774537</v>
      </c>
      <c r="P8" s="42">
        <v>450.21129746203479</v>
      </c>
      <c r="Q8" s="41"/>
    </row>
    <row r="9" spans="1:17" x14ac:dyDescent="0.25">
      <c r="A9">
        <v>5</v>
      </c>
      <c r="B9" t="s">
        <v>109</v>
      </c>
      <c r="C9">
        <v>112000.25</v>
      </c>
      <c r="F9" s="32">
        <v>25</v>
      </c>
      <c r="G9" s="32" t="s">
        <v>89</v>
      </c>
      <c r="H9" s="32" t="s">
        <v>108</v>
      </c>
      <c r="I9" s="33">
        <v>63279</v>
      </c>
      <c r="J9" s="14">
        <v>996</v>
      </c>
      <c r="K9" s="32">
        <f t="shared" si="0"/>
        <v>63.533132530120483</v>
      </c>
      <c r="M9" s="19" t="s">
        <v>152</v>
      </c>
      <c r="N9" s="20">
        <f>+N8/(100*0.85)</f>
        <v>4.5750012665775124</v>
      </c>
      <c r="O9" s="20">
        <f t="shared" ref="O9:P9" si="1">+O8/(100*0.85)</f>
        <v>5.2216611409146516</v>
      </c>
      <c r="P9" s="20">
        <f t="shared" si="1"/>
        <v>5.2966034995533509</v>
      </c>
      <c r="Q9" s="19" t="s">
        <v>160</v>
      </c>
    </row>
    <row r="10" spans="1:17" x14ac:dyDescent="0.25">
      <c r="A10">
        <v>6</v>
      </c>
      <c r="B10" t="s">
        <v>106</v>
      </c>
      <c r="C10">
        <v>111195.375</v>
      </c>
      <c r="F10" s="32">
        <v>25</v>
      </c>
      <c r="G10" s="32" t="s">
        <v>90</v>
      </c>
      <c r="H10" s="32" t="s">
        <v>108</v>
      </c>
      <c r="I10" s="33">
        <v>73934</v>
      </c>
      <c r="J10" s="14">
        <v>849</v>
      </c>
      <c r="K10" s="32">
        <f t="shared" si="0"/>
        <v>87.08362779740871</v>
      </c>
      <c r="M10" s="19" t="s">
        <v>162</v>
      </c>
      <c r="N10" s="30">
        <f>+N9/40</f>
        <v>0.11437503166443781</v>
      </c>
      <c r="O10" s="30">
        <f t="shared" ref="O10:P10" si="2">+O9/40</f>
        <v>0.1305415285228663</v>
      </c>
      <c r="P10" s="30">
        <f t="shared" si="2"/>
        <v>0.13241508748883377</v>
      </c>
      <c r="Q10" s="19" t="s">
        <v>163</v>
      </c>
    </row>
    <row r="11" spans="1:17" x14ac:dyDescent="0.25">
      <c r="A11">
        <v>6</v>
      </c>
      <c r="B11" t="s">
        <v>107</v>
      </c>
      <c r="C11">
        <v>108202.16666666666</v>
      </c>
      <c r="F11" s="32">
        <v>25</v>
      </c>
      <c r="G11" s="32" t="s">
        <v>91</v>
      </c>
      <c r="H11" s="32" t="s">
        <v>108</v>
      </c>
      <c r="I11" s="33">
        <v>71064</v>
      </c>
      <c r="J11" s="14">
        <v>932</v>
      </c>
      <c r="K11" s="32">
        <f t="shared" si="0"/>
        <v>76.248927038626604</v>
      </c>
      <c r="O11" s="38"/>
      <c r="P11" s="44"/>
    </row>
    <row r="12" spans="1:17" x14ac:dyDescent="0.25">
      <c r="A12">
        <v>6</v>
      </c>
      <c r="B12" t="s">
        <v>108</v>
      </c>
      <c r="C12">
        <v>109786.29166666666</v>
      </c>
      <c r="F12" s="32">
        <v>25</v>
      </c>
      <c r="G12" s="32" t="s">
        <v>92</v>
      </c>
      <c r="H12" s="32" t="s">
        <v>107</v>
      </c>
      <c r="I12" s="33">
        <v>61293</v>
      </c>
      <c r="J12" s="14">
        <v>897</v>
      </c>
      <c r="K12" s="32">
        <f t="shared" si="0"/>
        <v>68.331103678929765</v>
      </c>
      <c r="M12" s="19" t="s">
        <v>161</v>
      </c>
      <c r="O12" s="38"/>
      <c r="P12" s="44"/>
    </row>
    <row r="13" spans="1:17" x14ac:dyDescent="0.25">
      <c r="A13">
        <v>6</v>
      </c>
      <c r="B13" t="s">
        <v>109</v>
      </c>
      <c r="C13">
        <v>114748.375</v>
      </c>
      <c r="F13" s="32">
        <v>25</v>
      </c>
      <c r="G13" s="32" t="s">
        <v>93</v>
      </c>
      <c r="H13" s="32" t="s">
        <v>107</v>
      </c>
      <c r="I13" s="33">
        <v>64862</v>
      </c>
      <c r="J13" s="14">
        <v>982</v>
      </c>
      <c r="K13" s="32">
        <f t="shared" si="0"/>
        <v>66.050916496945007</v>
      </c>
      <c r="O13" s="38"/>
      <c r="P13" s="44"/>
    </row>
    <row r="14" spans="1:17" x14ac:dyDescent="0.25">
      <c r="A14">
        <v>7</v>
      </c>
      <c r="B14" t="s">
        <v>106</v>
      </c>
      <c r="C14">
        <v>120534.16666666666</v>
      </c>
      <c r="F14" s="32">
        <v>25</v>
      </c>
      <c r="G14" s="32" t="s">
        <v>82</v>
      </c>
      <c r="H14" s="32" t="s">
        <v>107</v>
      </c>
      <c r="I14" s="33">
        <v>67643</v>
      </c>
      <c r="J14" s="14">
        <v>930</v>
      </c>
      <c r="K14" s="32">
        <f t="shared" si="0"/>
        <v>72.734408602150538</v>
      </c>
      <c r="O14" s="43"/>
      <c r="P14" s="45"/>
    </row>
    <row r="15" spans="1:17" x14ac:dyDescent="0.25">
      <c r="A15">
        <v>7</v>
      </c>
      <c r="B15" t="s">
        <v>107</v>
      </c>
      <c r="C15">
        <v>125247.625</v>
      </c>
      <c r="F15" s="32">
        <v>25</v>
      </c>
      <c r="G15" s="32" t="s">
        <v>83</v>
      </c>
      <c r="H15" s="32" t="s">
        <v>106</v>
      </c>
      <c r="I15" s="33">
        <v>52160</v>
      </c>
      <c r="J15" s="14">
        <v>718</v>
      </c>
      <c r="K15" s="32">
        <f t="shared" si="0"/>
        <v>72.646239554317546</v>
      </c>
      <c r="O15" s="38"/>
      <c r="P15" s="44"/>
    </row>
    <row r="16" spans="1:17" x14ac:dyDescent="0.25">
      <c r="A16">
        <v>7</v>
      </c>
      <c r="B16" t="s">
        <v>108</v>
      </c>
      <c r="C16">
        <v>129386.29166666666</v>
      </c>
      <c r="F16" s="32">
        <v>25</v>
      </c>
      <c r="G16" s="32" t="s">
        <v>84</v>
      </c>
      <c r="H16" s="32" t="s">
        <v>106</v>
      </c>
      <c r="I16" s="33">
        <v>43859</v>
      </c>
      <c r="J16" s="14">
        <v>673</v>
      </c>
      <c r="K16" s="32">
        <f t="shared" si="0"/>
        <v>65.16939078751858</v>
      </c>
      <c r="O16" s="38"/>
      <c r="P16" s="44"/>
    </row>
    <row r="17" spans="1:16" x14ac:dyDescent="0.25">
      <c r="A17">
        <v>7</v>
      </c>
      <c r="B17" t="s">
        <v>109</v>
      </c>
      <c r="C17">
        <v>135538.04166666669</v>
      </c>
      <c r="F17" s="32">
        <v>25</v>
      </c>
      <c r="G17" s="32" t="s">
        <v>85</v>
      </c>
      <c r="H17" s="32" t="s">
        <v>106</v>
      </c>
      <c r="I17" s="33">
        <v>44040</v>
      </c>
      <c r="J17" s="14">
        <v>674</v>
      </c>
      <c r="K17" s="32">
        <f t="shared" si="0"/>
        <v>65.34124629080118</v>
      </c>
      <c r="O17" s="38"/>
      <c r="P17" s="44"/>
    </row>
    <row r="18" spans="1:16" x14ac:dyDescent="0.25">
      <c r="A18">
        <v>8</v>
      </c>
      <c r="B18" t="s">
        <v>106</v>
      </c>
      <c r="C18">
        <v>143762.875</v>
      </c>
      <c r="F18" s="32">
        <v>24</v>
      </c>
      <c r="G18" s="32" t="s">
        <v>86</v>
      </c>
      <c r="H18" s="32" t="s">
        <v>109</v>
      </c>
      <c r="I18" s="33">
        <v>54624</v>
      </c>
      <c r="J18" s="14">
        <v>813</v>
      </c>
      <c r="K18" s="32">
        <f t="shared" si="0"/>
        <v>67.188191881918826</v>
      </c>
      <c r="O18" s="38"/>
      <c r="P18" s="44"/>
    </row>
    <row r="19" spans="1:16" x14ac:dyDescent="0.25">
      <c r="A19">
        <v>8</v>
      </c>
      <c r="B19" t="s">
        <v>107</v>
      </c>
      <c r="C19">
        <v>148304.29166666669</v>
      </c>
      <c r="F19" s="32">
        <v>24</v>
      </c>
      <c r="G19" s="32" t="s">
        <v>87</v>
      </c>
      <c r="H19" s="32" t="s">
        <v>109</v>
      </c>
      <c r="I19" s="33">
        <v>48343</v>
      </c>
      <c r="J19" s="14">
        <v>931</v>
      </c>
      <c r="K19" s="32">
        <f t="shared" si="0"/>
        <v>51.925886143931258</v>
      </c>
      <c r="O19" s="38"/>
      <c r="P19" s="44"/>
    </row>
    <row r="20" spans="1:16" x14ac:dyDescent="0.25">
      <c r="A20">
        <v>8</v>
      </c>
      <c r="B20" t="s">
        <v>108</v>
      </c>
      <c r="C20">
        <v>148393.66666666666</v>
      </c>
      <c r="F20" s="32">
        <v>24</v>
      </c>
      <c r="G20" s="32" t="s">
        <v>88</v>
      </c>
      <c r="H20" s="32" t="s">
        <v>109</v>
      </c>
      <c r="I20" s="33">
        <v>61961</v>
      </c>
      <c r="J20" s="14">
        <v>991</v>
      </c>
      <c r="K20" s="32">
        <f t="shared" si="0"/>
        <v>62.523713420787082</v>
      </c>
      <c r="O20" s="38"/>
      <c r="P20" s="44"/>
    </row>
    <row r="21" spans="1:16" x14ac:dyDescent="0.25">
      <c r="A21">
        <v>8</v>
      </c>
      <c r="B21" t="s">
        <v>109</v>
      </c>
      <c r="C21">
        <v>144857</v>
      </c>
      <c r="F21" s="32">
        <v>24</v>
      </c>
      <c r="G21" s="32" t="s">
        <v>89</v>
      </c>
      <c r="H21" s="32" t="s">
        <v>108</v>
      </c>
      <c r="I21" s="33">
        <v>64624</v>
      </c>
      <c r="J21" s="14">
        <v>957</v>
      </c>
      <c r="K21" s="32">
        <f t="shared" si="0"/>
        <v>67.527690700104486</v>
      </c>
      <c r="O21" s="38"/>
      <c r="P21" s="44"/>
    </row>
    <row r="22" spans="1:16" x14ac:dyDescent="0.25">
      <c r="A22">
        <v>9</v>
      </c>
      <c r="B22" t="s">
        <v>106</v>
      </c>
      <c r="C22">
        <v>137805.5</v>
      </c>
      <c r="F22" s="32">
        <v>24</v>
      </c>
      <c r="G22" s="32" t="s">
        <v>90</v>
      </c>
      <c r="H22" s="32" t="s">
        <v>108</v>
      </c>
      <c r="I22" s="33">
        <v>71136</v>
      </c>
      <c r="J22" s="14">
        <v>929</v>
      </c>
      <c r="K22" s="32">
        <f t="shared" si="0"/>
        <v>76.572658772874064</v>
      </c>
      <c r="O22" s="38"/>
      <c r="P22" s="44"/>
    </row>
    <row r="23" spans="1:16" x14ac:dyDescent="0.25">
      <c r="A23">
        <v>9</v>
      </c>
      <c r="B23" t="s">
        <v>107</v>
      </c>
      <c r="C23">
        <v>133044.20833333334</v>
      </c>
      <c r="F23" s="32">
        <v>24</v>
      </c>
      <c r="G23" s="32" t="s">
        <v>91</v>
      </c>
      <c r="H23" s="32" t="s">
        <v>108</v>
      </c>
      <c r="I23" s="33">
        <v>66492</v>
      </c>
      <c r="J23" s="14">
        <v>952</v>
      </c>
      <c r="K23" s="32">
        <f t="shared" si="0"/>
        <v>69.844537815126046</v>
      </c>
      <c r="O23" s="38"/>
      <c r="P23" s="44"/>
    </row>
    <row r="24" spans="1:16" x14ac:dyDescent="0.25">
      <c r="A24">
        <v>9</v>
      </c>
      <c r="B24" t="s">
        <v>108</v>
      </c>
      <c r="C24">
        <v>131604.41666666669</v>
      </c>
      <c r="F24" s="32">
        <v>24</v>
      </c>
      <c r="G24" s="32" t="s">
        <v>92</v>
      </c>
      <c r="H24" s="32" t="s">
        <v>107</v>
      </c>
      <c r="I24" s="33">
        <v>65005</v>
      </c>
      <c r="J24" s="14">
        <v>905</v>
      </c>
      <c r="K24" s="32">
        <f t="shared" si="0"/>
        <v>71.828729281767963</v>
      </c>
      <c r="O24" s="38"/>
      <c r="P24" s="45"/>
    </row>
    <row r="25" spans="1:16" x14ac:dyDescent="0.25">
      <c r="A25">
        <v>9</v>
      </c>
      <c r="B25" t="s">
        <v>109</v>
      </c>
      <c r="C25">
        <v>130380.58333333334</v>
      </c>
      <c r="F25" s="32">
        <v>24</v>
      </c>
      <c r="G25" s="32" t="s">
        <v>93</v>
      </c>
      <c r="H25" s="32" t="s">
        <v>107</v>
      </c>
      <c r="I25" s="33">
        <v>60579</v>
      </c>
      <c r="J25" s="14">
        <v>958</v>
      </c>
      <c r="K25" s="32">
        <f t="shared" si="0"/>
        <v>63.234864300626306</v>
      </c>
      <c r="O25" s="38"/>
      <c r="P25" s="40"/>
    </row>
    <row r="26" spans="1:16" x14ac:dyDescent="0.25">
      <c r="A26">
        <v>10</v>
      </c>
      <c r="B26" t="s">
        <v>106</v>
      </c>
      <c r="C26">
        <v>135904.79166666666</v>
      </c>
      <c r="F26" s="32">
        <v>24</v>
      </c>
      <c r="G26" s="32" t="s">
        <v>82</v>
      </c>
      <c r="H26" s="32" t="s">
        <v>107</v>
      </c>
      <c r="I26" s="33">
        <v>59529</v>
      </c>
      <c r="J26" s="14">
        <v>866</v>
      </c>
      <c r="K26" s="32">
        <f t="shared" si="0"/>
        <v>68.740184757505773</v>
      </c>
      <c r="O26" s="38"/>
      <c r="P26" s="40"/>
    </row>
    <row r="27" spans="1:16" x14ac:dyDescent="0.25">
      <c r="A27">
        <v>10</v>
      </c>
      <c r="B27" t="s">
        <v>107</v>
      </c>
      <c r="C27">
        <v>146013.70833333334</v>
      </c>
      <c r="F27" s="32">
        <v>24</v>
      </c>
      <c r="G27" s="32" t="s">
        <v>83</v>
      </c>
      <c r="H27" s="32" t="s">
        <v>106</v>
      </c>
      <c r="I27" s="33">
        <v>54570</v>
      </c>
      <c r="J27" s="14">
        <v>755</v>
      </c>
      <c r="K27" s="32">
        <f t="shared" si="0"/>
        <v>72.278145695364245</v>
      </c>
      <c r="O27" s="38"/>
      <c r="P27" s="40"/>
    </row>
    <row r="28" spans="1:16" x14ac:dyDescent="0.25">
      <c r="A28">
        <v>10</v>
      </c>
      <c r="B28" t="s">
        <v>108</v>
      </c>
      <c r="C28">
        <v>157616.95833333334</v>
      </c>
      <c r="F28" s="32">
        <v>24</v>
      </c>
      <c r="G28" s="32" t="s">
        <v>84</v>
      </c>
      <c r="H28" s="32" t="s">
        <v>106</v>
      </c>
      <c r="I28" s="33">
        <v>41923</v>
      </c>
      <c r="J28" s="14">
        <v>664</v>
      </c>
      <c r="K28" s="32">
        <f t="shared" si="0"/>
        <v>63.137048192771083</v>
      </c>
      <c r="O28" s="38"/>
      <c r="P28" s="40"/>
    </row>
    <row r="29" spans="1:16" x14ac:dyDescent="0.25">
      <c r="A29">
        <v>10</v>
      </c>
      <c r="B29" t="s">
        <v>109</v>
      </c>
      <c r="C29">
        <v>175421.70833333334</v>
      </c>
      <c r="F29" s="32">
        <v>24</v>
      </c>
      <c r="G29" s="32" t="s">
        <v>85</v>
      </c>
      <c r="H29" s="32" t="s">
        <v>106</v>
      </c>
      <c r="I29" s="33">
        <v>45451</v>
      </c>
      <c r="J29" s="14">
        <v>658</v>
      </c>
      <c r="K29" s="32">
        <f t="shared" si="0"/>
        <v>69.074468085106389</v>
      </c>
      <c r="O29" s="38"/>
      <c r="P29" s="40"/>
    </row>
    <row r="30" spans="1:16" x14ac:dyDescent="0.25">
      <c r="A30">
        <v>11</v>
      </c>
      <c r="B30" t="s">
        <v>106</v>
      </c>
      <c r="C30">
        <v>184764.66666666666</v>
      </c>
      <c r="F30" s="32">
        <v>23</v>
      </c>
      <c r="G30" s="32" t="s">
        <v>86</v>
      </c>
      <c r="H30" s="32" t="s">
        <v>109</v>
      </c>
      <c r="I30" s="33">
        <v>50064</v>
      </c>
      <c r="J30" s="14">
        <v>727</v>
      </c>
      <c r="K30" s="32">
        <f t="shared" si="0"/>
        <v>68.86382393397524</v>
      </c>
      <c r="O30" s="38"/>
      <c r="P30" s="40"/>
    </row>
    <row r="31" spans="1:16" x14ac:dyDescent="0.25">
      <c r="A31">
        <v>11</v>
      </c>
      <c r="B31" t="s">
        <v>107</v>
      </c>
      <c r="C31">
        <v>187884.41666666669</v>
      </c>
      <c r="F31" s="32">
        <v>23</v>
      </c>
      <c r="G31" s="32" t="s">
        <v>87</v>
      </c>
      <c r="H31" s="32" t="s">
        <v>109</v>
      </c>
      <c r="I31" s="33">
        <v>40534</v>
      </c>
      <c r="J31" s="14">
        <v>738</v>
      </c>
      <c r="K31" s="32">
        <f t="shared" si="0"/>
        <v>54.924119241192415</v>
      </c>
      <c r="O31" s="38"/>
      <c r="P31" s="40"/>
    </row>
    <row r="32" spans="1:16" x14ac:dyDescent="0.25">
      <c r="A32">
        <v>11</v>
      </c>
      <c r="B32" t="s">
        <v>108</v>
      </c>
      <c r="C32">
        <v>185548.54166666666</v>
      </c>
      <c r="F32" s="32">
        <v>23</v>
      </c>
      <c r="G32" s="32" t="s">
        <v>88</v>
      </c>
      <c r="H32" s="32" t="s">
        <v>109</v>
      </c>
      <c r="I32" s="33">
        <v>59721</v>
      </c>
      <c r="J32" s="14">
        <v>869</v>
      </c>
      <c r="K32" s="32">
        <f t="shared" si="0"/>
        <v>68.723820483314157</v>
      </c>
      <c r="O32" s="38"/>
      <c r="P32" s="40"/>
    </row>
    <row r="33" spans="1:16" x14ac:dyDescent="0.25">
      <c r="A33">
        <v>11</v>
      </c>
      <c r="B33" t="s">
        <v>109</v>
      </c>
      <c r="C33">
        <v>172082.20833333331</v>
      </c>
      <c r="F33" s="32">
        <v>23</v>
      </c>
      <c r="G33" s="32" t="s">
        <v>89</v>
      </c>
      <c r="H33" s="32" t="s">
        <v>108</v>
      </c>
      <c r="I33" s="33">
        <v>62002</v>
      </c>
      <c r="J33" s="14">
        <v>938</v>
      </c>
      <c r="K33" s="32">
        <f t="shared" si="0"/>
        <v>66.100213219616208</v>
      </c>
      <c r="O33" s="38"/>
      <c r="P33" s="40"/>
    </row>
    <row r="34" spans="1:16" x14ac:dyDescent="0.25">
      <c r="A34">
        <v>12</v>
      </c>
      <c r="B34" t="s">
        <v>106</v>
      </c>
      <c r="C34">
        <v>154478.91666666666</v>
      </c>
      <c r="F34" s="32">
        <v>23</v>
      </c>
      <c r="G34" s="32" t="s">
        <v>90</v>
      </c>
      <c r="H34" s="32" t="s">
        <v>108</v>
      </c>
      <c r="I34" s="33">
        <v>72996</v>
      </c>
      <c r="J34" s="14">
        <v>913</v>
      </c>
      <c r="K34" s="32">
        <f t="shared" si="0"/>
        <v>79.951807228915669</v>
      </c>
      <c r="O34" s="38"/>
      <c r="P34" s="40"/>
    </row>
    <row r="35" spans="1:16" x14ac:dyDescent="0.25">
      <c r="A35">
        <v>12</v>
      </c>
      <c r="B35" t="s">
        <v>107</v>
      </c>
      <c r="C35">
        <v>141714.16666666666</v>
      </c>
      <c r="F35" s="32">
        <v>23</v>
      </c>
      <c r="G35" s="32" t="s">
        <v>91</v>
      </c>
      <c r="H35" s="32" t="s">
        <v>108</v>
      </c>
      <c r="I35" s="33">
        <v>71367</v>
      </c>
      <c r="J35" s="14">
        <v>918</v>
      </c>
      <c r="K35" s="32">
        <f t="shared" si="0"/>
        <v>77.74183006535948</v>
      </c>
      <c r="O35" s="38"/>
      <c r="P35" s="40"/>
    </row>
    <row r="36" spans="1:16" x14ac:dyDescent="0.25">
      <c r="A36">
        <v>12</v>
      </c>
      <c r="B36" t="s">
        <v>108</v>
      </c>
      <c r="C36">
        <v>134675.83333333334</v>
      </c>
      <c r="F36" s="32">
        <v>23</v>
      </c>
      <c r="G36" s="32" t="s">
        <v>92</v>
      </c>
      <c r="H36" s="32" t="s">
        <v>107</v>
      </c>
      <c r="I36" s="33">
        <v>58447</v>
      </c>
      <c r="J36" s="14">
        <v>823</v>
      </c>
      <c r="K36" s="32">
        <f t="shared" si="0"/>
        <v>71.017010935601462</v>
      </c>
      <c r="O36" s="38"/>
      <c r="P36" s="40"/>
    </row>
    <row r="37" spans="1:16" x14ac:dyDescent="0.25">
      <c r="A37">
        <v>12</v>
      </c>
      <c r="B37" t="s">
        <v>109</v>
      </c>
      <c r="C37">
        <v>129677.875</v>
      </c>
      <c r="F37" s="32">
        <v>23</v>
      </c>
      <c r="G37" s="32" t="s">
        <v>93</v>
      </c>
      <c r="H37" s="32" t="s">
        <v>107</v>
      </c>
      <c r="I37" s="33">
        <v>54427</v>
      </c>
      <c r="J37" s="14">
        <v>783</v>
      </c>
      <c r="K37" s="32">
        <f t="shared" si="0"/>
        <v>69.510855683269483</v>
      </c>
      <c r="O37" s="38"/>
      <c r="P37" s="40"/>
    </row>
    <row r="38" spans="1:16" x14ac:dyDescent="0.25">
      <c r="A38">
        <v>13</v>
      </c>
      <c r="B38" t="s">
        <v>106</v>
      </c>
      <c r="C38">
        <v>124894.25</v>
      </c>
      <c r="F38" s="32">
        <v>23</v>
      </c>
      <c r="G38" s="32" t="s">
        <v>82</v>
      </c>
      <c r="H38" s="32" t="s">
        <v>107</v>
      </c>
      <c r="I38" s="33">
        <v>64548</v>
      </c>
      <c r="J38" s="14">
        <v>835</v>
      </c>
      <c r="K38" s="32">
        <f t="shared" si="0"/>
        <v>77.302994011976054</v>
      </c>
      <c r="O38" s="38"/>
      <c r="P38" s="40"/>
    </row>
    <row r="39" spans="1:16" x14ac:dyDescent="0.25">
      <c r="A39">
        <v>13</v>
      </c>
      <c r="B39" t="s">
        <v>107</v>
      </c>
      <c r="C39">
        <v>117364.33333333331</v>
      </c>
      <c r="F39" s="32">
        <v>23</v>
      </c>
      <c r="G39" s="32" t="s">
        <v>83</v>
      </c>
      <c r="H39" s="32" t="s">
        <v>106</v>
      </c>
      <c r="I39" s="33">
        <v>54031</v>
      </c>
      <c r="J39" s="14">
        <v>820</v>
      </c>
      <c r="K39" s="32">
        <f t="shared" si="0"/>
        <v>65.891463414634146</v>
      </c>
      <c r="O39" s="38"/>
      <c r="P39" s="40"/>
    </row>
    <row r="40" spans="1:16" x14ac:dyDescent="0.25">
      <c r="A40">
        <v>13</v>
      </c>
      <c r="B40" t="s">
        <v>108</v>
      </c>
      <c r="C40">
        <v>111302.25</v>
      </c>
      <c r="F40" s="32">
        <v>23</v>
      </c>
      <c r="G40" s="32" t="s">
        <v>84</v>
      </c>
      <c r="H40" s="32" t="s">
        <v>106</v>
      </c>
      <c r="I40" s="33">
        <v>46212</v>
      </c>
      <c r="J40" s="14">
        <v>706</v>
      </c>
      <c r="K40" s="32">
        <f t="shared" si="0"/>
        <v>65.456090651558071</v>
      </c>
      <c r="O40" s="38"/>
      <c r="P40" s="40"/>
    </row>
    <row r="41" spans="1:16" x14ac:dyDescent="0.25">
      <c r="A41">
        <v>13</v>
      </c>
      <c r="B41" t="s">
        <v>109</v>
      </c>
      <c r="C41">
        <v>106364</v>
      </c>
      <c r="F41" s="32">
        <v>23</v>
      </c>
      <c r="G41" s="32" t="s">
        <v>85</v>
      </c>
      <c r="H41" s="32" t="s">
        <v>106</v>
      </c>
      <c r="I41" s="33">
        <v>51341</v>
      </c>
      <c r="J41" s="14">
        <v>646</v>
      </c>
      <c r="K41" s="32">
        <f t="shared" si="0"/>
        <v>79.475232198142422</v>
      </c>
      <c r="O41" s="38"/>
      <c r="P41" s="40"/>
    </row>
    <row r="42" spans="1:16" x14ac:dyDescent="0.25">
      <c r="A42">
        <v>14</v>
      </c>
      <c r="B42" t="s">
        <v>106</v>
      </c>
      <c r="C42">
        <v>104403.20833333334</v>
      </c>
      <c r="F42" s="32">
        <v>22</v>
      </c>
      <c r="G42" s="32" t="s">
        <v>86</v>
      </c>
      <c r="H42" s="32" t="s">
        <v>109</v>
      </c>
      <c r="I42" s="33">
        <v>54341</v>
      </c>
      <c r="J42" s="32"/>
      <c r="K42" s="32"/>
      <c r="O42" s="38"/>
      <c r="P42" s="40"/>
    </row>
    <row r="43" spans="1:16" x14ac:dyDescent="0.25">
      <c r="A43">
        <v>14</v>
      </c>
      <c r="B43" t="s">
        <v>107</v>
      </c>
      <c r="C43">
        <v>104024.25</v>
      </c>
      <c r="F43" s="32">
        <v>22</v>
      </c>
      <c r="G43" s="32" t="s">
        <v>87</v>
      </c>
      <c r="H43" s="32" t="s">
        <v>109</v>
      </c>
      <c r="I43" s="33">
        <v>44920</v>
      </c>
      <c r="J43" s="32" t="s">
        <v>154</v>
      </c>
      <c r="K43" s="32"/>
      <c r="O43" s="38"/>
      <c r="P43" s="40"/>
    </row>
    <row r="44" spans="1:16" x14ac:dyDescent="0.25">
      <c r="A44">
        <v>14</v>
      </c>
      <c r="B44" t="s">
        <v>108</v>
      </c>
      <c r="C44">
        <v>104660.45833333331</v>
      </c>
      <c r="F44" s="32">
        <v>22</v>
      </c>
      <c r="G44" s="32" t="s">
        <v>88</v>
      </c>
      <c r="H44" s="32" t="s">
        <v>109</v>
      </c>
      <c r="I44" s="33">
        <v>58851</v>
      </c>
      <c r="J44" s="32"/>
      <c r="K44" s="32"/>
      <c r="O44" s="38"/>
      <c r="P44" s="40"/>
    </row>
    <row r="45" spans="1:16" x14ac:dyDescent="0.25">
      <c r="A45">
        <v>14</v>
      </c>
      <c r="B45" t="s">
        <v>109</v>
      </c>
      <c r="C45">
        <v>105809.91666666666</v>
      </c>
      <c r="F45" s="32">
        <v>22</v>
      </c>
      <c r="G45" s="32" t="s">
        <v>89</v>
      </c>
      <c r="H45" s="32" t="s">
        <v>108</v>
      </c>
      <c r="I45" s="33">
        <v>61279</v>
      </c>
      <c r="J45" s="32"/>
      <c r="K45" s="32"/>
      <c r="O45" s="38"/>
      <c r="P45" s="40"/>
    </row>
    <row r="46" spans="1:16" x14ac:dyDescent="0.25">
      <c r="A46">
        <v>15</v>
      </c>
      <c r="B46" t="s">
        <v>106</v>
      </c>
      <c r="C46">
        <v>106939.54166666666</v>
      </c>
      <c r="F46" s="32">
        <v>22</v>
      </c>
      <c r="G46" s="32" t="s">
        <v>90</v>
      </c>
      <c r="H46" s="32" t="s">
        <v>108</v>
      </c>
      <c r="I46" s="33">
        <v>72152</v>
      </c>
      <c r="J46" s="32"/>
      <c r="K46" s="32"/>
      <c r="O46" s="38"/>
      <c r="P46" s="40"/>
    </row>
    <row r="47" spans="1:16" x14ac:dyDescent="0.25">
      <c r="A47">
        <v>15</v>
      </c>
      <c r="B47" t="s">
        <v>107</v>
      </c>
      <c r="C47">
        <v>106989.29166666666</v>
      </c>
      <c r="F47" s="32">
        <v>22</v>
      </c>
      <c r="G47" s="32" t="s">
        <v>91</v>
      </c>
      <c r="H47" s="32" t="s">
        <v>108</v>
      </c>
      <c r="I47" s="33">
        <v>69483</v>
      </c>
      <c r="J47" s="32"/>
      <c r="K47" s="32"/>
      <c r="O47" s="38"/>
      <c r="P47" s="40"/>
    </row>
    <row r="48" spans="1:16" x14ac:dyDescent="0.25">
      <c r="A48">
        <v>15</v>
      </c>
      <c r="B48" t="s">
        <v>108</v>
      </c>
      <c r="C48">
        <v>105983.625</v>
      </c>
      <c r="F48" s="32">
        <v>22</v>
      </c>
      <c r="G48" s="32" t="s">
        <v>92</v>
      </c>
      <c r="H48" s="32" t="s">
        <v>107</v>
      </c>
      <c r="I48" s="33">
        <v>62259</v>
      </c>
      <c r="J48" s="32"/>
      <c r="K48" s="32"/>
      <c r="O48" s="38"/>
      <c r="P48" s="40"/>
    </row>
    <row r="49" spans="1:16" x14ac:dyDescent="0.25">
      <c r="A49">
        <v>15</v>
      </c>
      <c r="B49" t="s">
        <v>109</v>
      </c>
      <c r="C49">
        <v>106111.70833333333</v>
      </c>
      <c r="F49" s="32">
        <v>22</v>
      </c>
      <c r="G49" s="32" t="s">
        <v>93</v>
      </c>
      <c r="H49" s="32" t="s">
        <v>107</v>
      </c>
      <c r="I49" s="33">
        <v>51083</v>
      </c>
      <c r="J49" s="32"/>
      <c r="K49" s="32"/>
      <c r="O49" s="38"/>
      <c r="P49" s="40"/>
    </row>
    <row r="50" spans="1:16" x14ac:dyDescent="0.25">
      <c r="A50">
        <v>16</v>
      </c>
      <c r="B50" t="s">
        <v>106</v>
      </c>
      <c r="C50">
        <v>105645.20833333334</v>
      </c>
      <c r="F50" s="32">
        <v>22</v>
      </c>
      <c r="G50" s="32" t="s">
        <v>82</v>
      </c>
      <c r="H50" s="32" t="s">
        <v>107</v>
      </c>
      <c r="I50" s="33">
        <v>52954</v>
      </c>
      <c r="J50" s="32"/>
      <c r="K50" s="32"/>
      <c r="O50" s="38"/>
      <c r="P50" s="40"/>
    </row>
    <row r="51" spans="1:16" x14ac:dyDescent="0.25">
      <c r="A51">
        <v>16</v>
      </c>
      <c r="B51" t="s">
        <v>107</v>
      </c>
      <c r="C51">
        <v>104497.25</v>
      </c>
      <c r="F51" s="32">
        <v>22</v>
      </c>
      <c r="G51" s="32" t="s">
        <v>83</v>
      </c>
      <c r="H51" s="32" t="s">
        <v>106</v>
      </c>
      <c r="I51" s="33">
        <v>44619</v>
      </c>
      <c r="J51" s="32"/>
      <c r="K51" s="32"/>
      <c r="O51" s="38"/>
      <c r="P51" s="40"/>
    </row>
    <row r="52" spans="1:16" x14ac:dyDescent="0.25">
      <c r="A52">
        <v>16</v>
      </c>
      <c r="B52" t="s">
        <v>108</v>
      </c>
      <c r="C52">
        <v>103969.5</v>
      </c>
      <c r="F52" s="32">
        <v>22</v>
      </c>
      <c r="G52" s="32" t="s">
        <v>84</v>
      </c>
      <c r="H52" s="32" t="s">
        <v>106</v>
      </c>
      <c r="I52" s="33">
        <v>29622</v>
      </c>
      <c r="J52" s="32"/>
      <c r="K52" s="32"/>
      <c r="O52" s="39"/>
      <c r="P52" s="40"/>
    </row>
    <row r="53" spans="1:16" x14ac:dyDescent="0.25">
      <c r="A53">
        <v>16</v>
      </c>
      <c r="B53" t="s">
        <v>109</v>
      </c>
      <c r="C53">
        <v>104556.875</v>
      </c>
      <c r="F53" s="32">
        <v>22</v>
      </c>
      <c r="G53" s="32" t="s">
        <v>85</v>
      </c>
      <c r="H53" s="32" t="s">
        <v>106</v>
      </c>
      <c r="I53" s="33">
        <v>26274</v>
      </c>
      <c r="J53" s="32"/>
      <c r="K53" s="32"/>
    </row>
    <row r="54" spans="1:16" x14ac:dyDescent="0.25">
      <c r="A54">
        <v>17</v>
      </c>
      <c r="B54" t="s">
        <v>106</v>
      </c>
      <c r="C54">
        <v>107226.875</v>
      </c>
      <c r="F54" s="32">
        <v>19</v>
      </c>
      <c r="G54" s="32" t="s">
        <v>94</v>
      </c>
      <c r="H54" s="32" t="s">
        <v>109</v>
      </c>
      <c r="I54" s="34">
        <v>28098</v>
      </c>
      <c r="J54" s="32"/>
      <c r="K54" s="32"/>
    </row>
    <row r="55" spans="1:16" x14ac:dyDescent="0.25">
      <c r="A55">
        <v>17</v>
      </c>
      <c r="B55" t="s">
        <v>107</v>
      </c>
      <c r="C55">
        <v>109588.125</v>
      </c>
      <c r="F55" s="32">
        <v>19</v>
      </c>
      <c r="G55" s="32" t="s">
        <v>95</v>
      </c>
      <c r="H55" s="32" t="s">
        <v>109</v>
      </c>
      <c r="I55" s="34">
        <v>24240</v>
      </c>
      <c r="J55" s="32"/>
      <c r="K55" s="32"/>
    </row>
    <row r="56" spans="1:16" x14ac:dyDescent="0.25">
      <c r="A56">
        <v>17</v>
      </c>
      <c r="B56" t="s">
        <v>108</v>
      </c>
      <c r="C56">
        <v>109727.33333333334</v>
      </c>
      <c r="F56" s="32">
        <v>19</v>
      </c>
      <c r="G56" s="32" t="s">
        <v>96</v>
      </c>
      <c r="H56" s="32" t="s">
        <v>109</v>
      </c>
      <c r="I56" s="34">
        <v>29254</v>
      </c>
      <c r="J56" s="32"/>
      <c r="K56" s="32"/>
    </row>
    <row r="57" spans="1:16" x14ac:dyDescent="0.25">
      <c r="A57">
        <v>17</v>
      </c>
      <c r="B57" t="s">
        <v>109</v>
      </c>
      <c r="C57">
        <v>109668.66666666666</v>
      </c>
      <c r="F57" s="32">
        <v>19</v>
      </c>
      <c r="G57" s="32" t="s">
        <v>97</v>
      </c>
      <c r="H57" s="32" t="s">
        <v>108</v>
      </c>
      <c r="I57" s="34">
        <v>34755</v>
      </c>
      <c r="J57" s="32"/>
      <c r="K57" s="32"/>
    </row>
    <row r="58" spans="1:16" x14ac:dyDescent="0.25">
      <c r="A58">
        <v>18</v>
      </c>
      <c r="B58" t="s">
        <v>106</v>
      </c>
      <c r="C58">
        <v>115887.79166666669</v>
      </c>
      <c r="F58" s="32">
        <v>19</v>
      </c>
      <c r="G58" s="32" t="s">
        <v>98</v>
      </c>
      <c r="H58" s="32" t="s">
        <v>108</v>
      </c>
      <c r="I58" s="34">
        <v>37724</v>
      </c>
      <c r="J58" s="32"/>
      <c r="K58" s="32"/>
    </row>
    <row r="59" spans="1:16" x14ac:dyDescent="0.25">
      <c r="A59">
        <v>18</v>
      </c>
      <c r="B59" t="s">
        <v>107</v>
      </c>
      <c r="C59">
        <v>120875</v>
      </c>
      <c r="F59" s="32">
        <v>19</v>
      </c>
      <c r="G59" s="32" t="s">
        <v>99</v>
      </c>
      <c r="H59" s="32" t="s">
        <v>108</v>
      </c>
      <c r="I59" s="34">
        <v>39141</v>
      </c>
      <c r="J59" s="32"/>
      <c r="K59" s="32"/>
    </row>
    <row r="60" spans="1:16" x14ac:dyDescent="0.25">
      <c r="A60">
        <v>18</v>
      </c>
      <c r="B60" t="s">
        <v>108</v>
      </c>
      <c r="C60">
        <v>119337.79166666669</v>
      </c>
      <c r="F60" s="32">
        <v>19</v>
      </c>
      <c r="G60" s="32" t="s">
        <v>100</v>
      </c>
      <c r="H60" s="32" t="s">
        <v>107</v>
      </c>
      <c r="I60" s="34">
        <v>32064</v>
      </c>
      <c r="J60" s="32"/>
      <c r="K60" s="32"/>
    </row>
    <row r="61" spans="1:16" x14ac:dyDescent="0.25">
      <c r="A61">
        <v>18</v>
      </c>
      <c r="B61" t="s">
        <v>109</v>
      </c>
      <c r="C61">
        <v>111859.95833333333</v>
      </c>
      <c r="F61" s="32">
        <v>19</v>
      </c>
      <c r="G61" s="32" t="s">
        <v>101</v>
      </c>
      <c r="H61" s="32" t="s">
        <v>107</v>
      </c>
      <c r="I61" s="34">
        <v>26424</v>
      </c>
      <c r="J61" s="32"/>
      <c r="K61" s="32"/>
    </row>
    <row r="62" spans="1:16" x14ac:dyDescent="0.25">
      <c r="A62">
        <v>19</v>
      </c>
      <c r="B62" t="s">
        <v>106</v>
      </c>
      <c r="C62">
        <v>98401</v>
      </c>
      <c r="F62" s="32">
        <v>19</v>
      </c>
      <c r="G62" s="32" t="s">
        <v>102</v>
      </c>
      <c r="H62" s="32" t="s">
        <v>107</v>
      </c>
      <c r="I62" s="34">
        <v>29623</v>
      </c>
      <c r="J62" s="32"/>
      <c r="K62" s="32"/>
    </row>
    <row r="63" spans="1:16" x14ac:dyDescent="0.25">
      <c r="A63">
        <v>19</v>
      </c>
      <c r="B63" t="s">
        <v>107</v>
      </c>
      <c r="C63">
        <v>88188.208333333343</v>
      </c>
      <c r="F63" s="32">
        <v>19</v>
      </c>
      <c r="G63" s="32" t="s">
        <v>103</v>
      </c>
      <c r="H63" s="32" t="s">
        <v>106</v>
      </c>
      <c r="I63" s="34">
        <v>22601</v>
      </c>
      <c r="J63" s="32"/>
      <c r="K63" s="32"/>
    </row>
    <row r="64" spans="1:16" x14ac:dyDescent="0.25">
      <c r="A64">
        <v>19</v>
      </c>
      <c r="B64" t="s">
        <v>108</v>
      </c>
      <c r="C64">
        <v>89397</v>
      </c>
      <c r="F64" s="32">
        <v>19</v>
      </c>
      <c r="G64" s="32" t="s">
        <v>104</v>
      </c>
      <c r="H64" s="32" t="s">
        <v>106</v>
      </c>
      <c r="I64" s="34">
        <v>19338</v>
      </c>
      <c r="J64" s="32"/>
      <c r="K64" s="32"/>
    </row>
    <row r="65" spans="1:11" x14ac:dyDescent="0.25">
      <c r="A65">
        <v>19</v>
      </c>
      <c r="B65" t="s">
        <v>109</v>
      </c>
      <c r="C65">
        <v>104660.625</v>
      </c>
      <c r="F65" s="32">
        <v>19</v>
      </c>
      <c r="G65" s="32" t="s">
        <v>105</v>
      </c>
      <c r="H65" s="32" t="s">
        <v>106</v>
      </c>
      <c r="I65" s="34">
        <v>21716</v>
      </c>
      <c r="J65" s="32"/>
      <c r="K65" s="32"/>
    </row>
    <row r="66" spans="1:11" x14ac:dyDescent="0.25">
      <c r="A66">
        <v>22</v>
      </c>
      <c r="B66" t="s">
        <v>106</v>
      </c>
      <c r="C66">
        <v>126735.66666666666</v>
      </c>
      <c r="F66" s="32">
        <v>18</v>
      </c>
      <c r="G66" s="32" t="s">
        <v>94</v>
      </c>
      <c r="H66" s="32" t="s">
        <v>109</v>
      </c>
      <c r="I66" s="34">
        <v>33846</v>
      </c>
      <c r="J66" s="32"/>
      <c r="K66" s="32"/>
    </row>
    <row r="67" spans="1:11" x14ac:dyDescent="0.25">
      <c r="A67">
        <v>22</v>
      </c>
      <c r="B67" t="s">
        <v>107</v>
      </c>
      <c r="C67">
        <v>147673.75</v>
      </c>
      <c r="F67" s="32">
        <v>18</v>
      </c>
      <c r="G67" s="32" t="s">
        <v>95</v>
      </c>
      <c r="H67" s="32" t="s">
        <v>109</v>
      </c>
      <c r="I67" s="34">
        <v>27684</v>
      </c>
      <c r="J67" s="32"/>
      <c r="K67" s="32"/>
    </row>
    <row r="68" spans="1:11" x14ac:dyDescent="0.25">
      <c r="A68">
        <v>22</v>
      </c>
      <c r="B68" t="s">
        <v>108</v>
      </c>
      <c r="C68">
        <v>164647.45833333334</v>
      </c>
      <c r="F68" s="32">
        <v>18</v>
      </c>
      <c r="G68" s="32" t="s">
        <v>96</v>
      </c>
      <c r="H68" s="32" t="s">
        <v>109</v>
      </c>
      <c r="I68" s="34">
        <v>36831</v>
      </c>
      <c r="J68" s="32"/>
      <c r="K68" s="32"/>
    </row>
    <row r="69" spans="1:11" x14ac:dyDescent="0.25">
      <c r="A69">
        <v>22</v>
      </c>
      <c r="B69" t="s">
        <v>109</v>
      </c>
      <c r="C69">
        <v>172401.08333333334</v>
      </c>
      <c r="F69" s="32">
        <v>18</v>
      </c>
      <c r="G69" s="32" t="s">
        <v>97</v>
      </c>
      <c r="H69" s="32" t="s">
        <v>108</v>
      </c>
      <c r="I69" s="34">
        <v>52494</v>
      </c>
      <c r="J69" s="32"/>
      <c r="K69" s="32"/>
    </row>
    <row r="70" spans="1:11" x14ac:dyDescent="0.25">
      <c r="A70">
        <v>23</v>
      </c>
      <c r="B70" t="s">
        <v>106</v>
      </c>
      <c r="C70">
        <v>173036.125</v>
      </c>
      <c r="F70" s="32">
        <v>18</v>
      </c>
      <c r="G70" s="32" t="s">
        <v>98</v>
      </c>
      <c r="H70" s="32" t="s">
        <v>108</v>
      </c>
      <c r="I70" s="34">
        <v>64283</v>
      </c>
      <c r="J70" s="32"/>
      <c r="K70" s="32"/>
    </row>
    <row r="71" spans="1:11" x14ac:dyDescent="0.25">
      <c r="A71">
        <v>23</v>
      </c>
      <c r="B71" t="s">
        <v>107</v>
      </c>
      <c r="C71">
        <v>172825.54166666666</v>
      </c>
      <c r="F71" s="32">
        <v>18</v>
      </c>
      <c r="G71" s="32" t="s">
        <v>99</v>
      </c>
      <c r="H71" s="32" t="s">
        <v>108</v>
      </c>
      <c r="I71" s="34">
        <v>61911</v>
      </c>
      <c r="J71" s="32"/>
      <c r="K71" s="32"/>
    </row>
    <row r="72" spans="1:11" x14ac:dyDescent="0.25">
      <c r="A72">
        <v>23</v>
      </c>
      <c r="B72" t="s">
        <v>108</v>
      </c>
      <c r="C72">
        <v>169681.75</v>
      </c>
      <c r="F72" s="32">
        <v>18</v>
      </c>
      <c r="G72" s="32" t="s">
        <v>100</v>
      </c>
      <c r="H72" s="32" t="s">
        <v>107</v>
      </c>
      <c r="I72" s="34">
        <v>47504</v>
      </c>
      <c r="J72" s="32"/>
      <c r="K72" s="32"/>
    </row>
    <row r="73" spans="1:11" x14ac:dyDescent="0.25">
      <c r="A73">
        <v>23</v>
      </c>
      <c r="B73" t="s">
        <v>109</v>
      </c>
      <c r="C73">
        <v>169009.125</v>
      </c>
      <c r="F73" s="32">
        <v>18</v>
      </c>
      <c r="G73" s="32" t="s">
        <v>101</v>
      </c>
      <c r="H73" s="32" t="s">
        <v>107</v>
      </c>
      <c r="I73" s="34">
        <v>34492</v>
      </c>
      <c r="J73" s="32"/>
      <c r="K73" s="32"/>
    </row>
    <row r="74" spans="1:11" x14ac:dyDescent="0.25">
      <c r="A74">
        <v>24</v>
      </c>
      <c r="B74" t="s">
        <v>106</v>
      </c>
      <c r="C74">
        <v>169796.375</v>
      </c>
      <c r="F74" s="32">
        <v>18</v>
      </c>
      <c r="G74" s="32" t="s">
        <v>102</v>
      </c>
      <c r="H74" s="32" t="s">
        <v>107</v>
      </c>
      <c r="I74" s="34">
        <v>39968</v>
      </c>
      <c r="J74" s="32"/>
      <c r="K74" s="32"/>
    </row>
    <row r="75" spans="1:11" x14ac:dyDescent="0.25">
      <c r="A75">
        <v>24</v>
      </c>
      <c r="B75" t="s">
        <v>107</v>
      </c>
      <c r="C75">
        <v>171539.79166666669</v>
      </c>
      <c r="F75" s="32">
        <v>18</v>
      </c>
      <c r="G75" s="32" t="s">
        <v>103</v>
      </c>
      <c r="H75" s="32" t="s">
        <v>106</v>
      </c>
      <c r="I75" s="34">
        <v>35325</v>
      </c>
      <c r="J75" s="32"/>
      <c r="K75" s="32"/>
    </row>
    <row r="76" spans="1:11" x14ac:dyDescent="0.25">
      <c r="A76">
        <v>24</v>
      </c>
      <c r="B76" t="s">
        <v>108</v>
      </c>
      <c r="C76">
        <v>173406.875</v>
      </c>
      <c r="F76" s="32">
        <v>18</v>
      </c>
      <c r="G76" s="32" t="s">
        <v>104</v>
      </c>
      <c r="H76" s="32" t="s">
        <v>106</v>
      </c>
      <c r="I76" s="34">
        <v>25677</v>
      </c>
      <c r="J76" s="32"/>
      <c r="K76" s="32"/>
    </row>
    <row r="77" spans="1:11" x14ac:dyDescent="0.25">
      <c r="A77">
        <v>24</v>
      </c>
      <c r="B77" t="s">
        <v>109</v>
      </c>
      <c r="C77">
        <v>175159.125</v>
      </c>
      <c r="F77" s="32">
        <v>18</v>
      </c>
      <c r="G77" s="32" t="s">
        <v>105</v>
      </c>
      <c r="H77" s="32" t="s">
        <v>106</v>
      </c>
      <c r="I77" s="34">
        <v>27178</v>
      </c>
      <c r="J77" s="32"/>
      <c r="K77" s="32"/>
    </row>
    <row r="78" spans="1:11" x14ac:dyDescent="0.25">
      <c r="A78">
        <v>25</v>
      </c>
      <c r="B78" t="s">
        <v>106</v>
      </c>
      <c r="C78">
        <v>176505.45833333334</v>
      </c>
      <c r="F78" s="32">
        <v>17</v>
      </c>
      <c r="G78" s="32" t="s">
        <v>94</v>
      </c>
      <c r="H78" s="32" t="s">
        <v>109</v>
      </c>
      <c r="I78" s="34">
        <v>30978</v>
      </c>
      <c r="J78" s="32"/>
      <c r="K78" s="32"/>
    </row>
    <row r="79" spans="1:11" x14ac:dyDescent="0.25">
      <c r="A79">
        <v>25</v>
      </c>
      <c r="B79" t="s">
        <v>107</v>
      </c>
      <c r="C79">
        <v>177464.29166666666</v>
      </c>
      <c r="F79" s="32">
        <v>17</v>
      </c>
      <c r="G79" s="32" t="s">
        <v>95</v>
      </c>
      <c r="H79" s="32" t="s">
        <v>109</v>
      </c>
      <c r="I79" s="34">
        <v>25785</v>
      </c>
      <c r="J79" s="32"/>
      <c r="K79" s="32"/>
    </row>
    <row r="80" spans="1:11" x14ac:dyDescent="0.25">
      <c r="A80">
        <v>25</v>
      </c>
      <c r="B80" t="s">
        <v>108</v>
      </c>
      <c r="C80">
        <v>177374.33333333331</v>
      </c>
      <c r="F80" s="32">
        <v>17</v>
      </c>
      <c r="G80" s="32" t="s">
        <v>96</v>
      </c>
      <c r="H80" s="32" t="s">
        <v>109</v>
      </c>
      <c r="I80" s="34">
        <v>34710</v>
      </c>
      <c r="J80" s="32"/>
      <c r="K80" s="32"/>
    </row>
    <row r="81" spans="1:11" x14ac:dyDescent="0.25">
      <c r="A81">
        <v>25</v>
      </c>
      <c r="B81" t="s">
        <v>109</v>
      </c>
      <c r="C81">
        <v>59066.416666666664</v>
      </c>
      <c r="F81" s="32">
        <v>17</v>
      </c>
      <c r="G81" s="32" t="s">
        <v>97</v>
      </c>
      <c r="H81" s="32" t="s">
        <v>108</v>
      </c>
      <c r="I81" s="34">
        <v>42155</v>
      </c>
      <c r="J81" s="32"/>
      <c r="K81" s="32"/>
    </row>
    <row r="82" spans="1:11" x14ac:dyDescent="0.25">
      <c r="F82" s="32">
        <v>17</v>
      </c>
      <c r="G82" s="32" t="s">
        <v>98</v>
      </c>
      <c r="H82" s="32" t="s">
        <v>108</v>
      </c>
      <c r="I82" s="34">
        <v>51986</v>
      </c>
      <c r="J82" s="32"/>
      <c r="K82" s="32"/>
    </row>
    <row r="83" spans="1:11" x14ac:dyDescent="0.25">
      <c r="F83" s="32">
        <v>17</v>
      </c>
      <c r="G83" s="32" t="s">
        <v>99</v>
      </c>
      <c r="H83" s="32" t="s">
        <v>108</v>
      </c>
      <c r="I83" s="34">
        <v>49974</v>
      </c>
      <c r="J83" s="32"/>
      <c r="K83" s="32"/>
    </row>
    <row r="84" spans="1:11" x14ac:dyDescent="0.25">
      <c r="F84" s="32">
        <v>17</v>
      </c>
      <c r="G84" s="32" t="s">
        <v>100</v>
      </c>
      <c r="H84" s="32" t="s">
        <v>107</v>
      </c>
      <c r="I84" s="34">
        <v>39327</v>
      </c>
      <c r="J84" s="32"/>
      <c r="K84" s="32"/>
    </row>
    <row r="85" spans="1:11" x14ac:dyDescent="0.25">
      <c r="F85" s="32">
        <v>17</v>
      </c>
      <c r="G85" s="32" t="s">
        <v>101</v>
      </c>
      <c r="H85" s="32" t="s">
        <v>107</v>
      </c>
      <c r="I85" s="34">
        <v>33244</v>
      </c>
      <c r="J85" s="32"/>
      <c r="K85" s="32"/>
    </row>
    <row r="86" spans="1:11" x14ac:dyDescent="0.25">
      <c r="F86" s="32">
        <v>17</v>
      </c>
      <c r="G86" s="32" t="s">
        <v>102</v>
      </c>
      <c r="H86" s="32" t="s">
        <v>107</v>
      </c>
      <c r="I86" s="34">
        <v>42253</v>
      </c>
      <c r="J86" s="32"/>
      <c r="K86" s="32"/>
    </row>
    <row r="87" spans="1:11" x14ac:dyDescent="0.25">
      <c r="F87" s="32">
        <v>17</v>
      </c>
      <c r="G87" s="32" t="s">
        <v>103</v>
      </c>
      <c r="H87" s="32" t="s">
        <v>106</v>
      </c>
      <c r="I87" s="34">
        <v>37472</v>
      </c>
      <c r="J87" s="32"/>
      <c r="K87" s="32"/>
    </row>
    <row r="88" spans="1:11" x14ac:dyDescent="0.25">
      <c r="F88" s="32">
        <v>17</v>
      </c>
      <c r="G88" s="32" t="s">
        <v>104</v>
      </c>
      <c r="H88" s="32" t="s">
        <v>106</v>
      </c>
      <c r="I88" s="34">
        <v>23060</v>
      </c>
      <c r="J88" s="32"/>
      <c r="K88" s="32"/>
    </row>
    <row r="89" spans="1:11" x14ac:dyDescent="0.25">
      <c r="F89" s="32">
        <v>17</v>
      </c>
      <c r="G89" s="32" t="s">
        <v>105</v>
      </c>
      <c r="H89" s="32" t="s">
        <v>106</v>
      </c>
      <c r="I89" s="34">
        <v>26198</v>
      </c>
      <c r="J89" s="32"/>
      <c r="K89" s="32"/>
    </row>
    <row r="90" spans="1:11" x14ac:dyDescent="0.25">
      <c r="F90" s="32">
        <v>16</v>
      </c>
      <c r="G90" s="32" t="s">
        <v>94</v>
      </c>
      <c r="H90" s="32" t="s">
        <v>109</v>
      </c>
      <c r="I90" s="34">
        <v>32363</v>
      </c>
      <c r="J90" s="32"/>
      <c r="K90" s="32"/>
    </row>
    <row r="91" spans="1:11" x14ac:dyDescent="0.25">
      <c r="F91" s="32">
        <v>16</v>
      </c>
      <c r="G91" s="32" t="s">
        <v>95</v>
      </c>
      <c r="H91" s="32" t="s">
        <v>109</v>
      </c>
      <c r="I91" s="34">
        <v>26653</v>
      </c>
      <c r="J91" s="32"/>
      <c r="K91" s="32"/>
    </row>
    <row r="92" spans="1:11" x14ac:dyDescent="0.25">
      <c r="F92" s="32">
        <v>16</v>
      </c>
      <c r="G92" s="32" t="s">
        <v>96</v>
      </c>
      <c r="H92" s="32" t="s">
        <v>109</v>
      </c>
      <c r="I92" s="34">
        <v>32444</v>
      </c>
      <c r="J92" s="32"/>
      <c r="K92" s="32"/>
    </row>
    <row r="93" spans="1:11" x14ac:dyDescent="0.25">
      <c r="F93" s="32">
        <v>16</v>
      </c>
      <c r="G93" s="32" t="s">
        <v>97</v>
      </c>
      <c r="H93" s="32" t="s">
        <v>108</v>
      </c>
      <c r="I93" s="34">
        <v>36416</v>
      </c>
      <c r="J93" s="32"/>
      <c r="K93" s="32"/>
    </row>
    <row r="94" spans="1:11" x14ac:dyDescent="0.25">
      <c r="F94" s="32">
        <v>16</v>
      </c>
      <c r="G94" s="32" t="s">
        <v>98</v>
      </c>
      <c r="H94" s="32" t="s">
        <v>108</v>
      </c>
      <c r="I94" s="34">
        <v>46779</v>
      </c>
      <c r="J94" s="32"/>
      <c r="K94" s="32"/>
    </row>
    <row r="95" spans="1:11" x14ac:dyDescent="0.25">
      <c r="F95" s="32">
        <v>16</v>
      </c>
      <c r="G95" s="32" t="s">
        <v>99</v>
      </c>
      <c r="H95" s="32" t="s">
        <v>108</v>
      </c>
      <c r="I95" s="34">
        <v>44961</v>
      </c>
      <c r="J95" s="32"/>
      <c r="K95" s="32"/>
    </row>
    <row r="96" spans="1:11" x14ac:dyDescent="0.25">
      <c r="F96" s="32">
        <v>16</v>
      </c>
      <c r="G96" s="32" t="s">
        <v>100</v>
      </c>
      <c r="H96" s="32" t="s">
        <v>107</v>
      </c>
      <c r="I96" s="34">
        <v>37176</v>
      </c>
      <c r="J96" s="32"/>
      <c r="K96" s="32"/>
    </row>
    <row r="97" spans="6:11" x14ac:dyDescent="0.25">
      <c r="F97" s="32">
        <v>16</v>
      </c>
      <c r="G97" s="32" t="s">
        <v>101</v>
      </c>
      <c r="H97" s="32" t="s">
        <v>107</v>
      </c>
      <c r="I97" s="34">
        <v>33416</v>
      </c>
      <c r="J97" s="32"/>
      <c r="K97" s="32"/>
    </row>
    <row r="98" spans="6:11" x14ac:dyDescent="0.25">
      <c r="F98" s="32">
        <v>16</v>
      </c>
      <c r="G98" s="32" t="s">
        <v>102</v>
      </c>
      <c r="H98" s="32" t="s">
        <v>107</v>
      </c>
      <c r="I98" s="34">
        <v>34837</v>
      </c>
      <c r="J98" s="32"/>
      <c r="K98" s="32"/>
    </row>
    <row r="99" spans="6:11" x14ac:dyDescent="0.25">
      <c r="F99" s="32">
        <v>16</v>
      </c>
      <c r="G99" s="32" t="s">
        <v>103</v>
      </c>
      <c r="H99" s="32" t="s">
        <v>106</v>
      </c>
      <c r="I99" s="34">
        <v>39749</v>
      </c>
      <c r="J99" s="32"/>
      <c r="K99" s="32"/>
    </row>
    <row r="100" spans="6:11" x14ac:dyDescent="0.25">
      <c r="F100" s="32">
        <v>16</v>
      </c>
      <c r="G100" s="32" t="s">
        <v>104</v>
      </c>
      <c r="H100" s="32" t="s">
        <v>106</v>
      </c>
      <c r="I100" s="34">
        <v>27177</v>
      </c>
      <c r="J100" s="32"/>
      <c r="K100" s="32"/>
    </row>
    <row r="101" spans="6:11" x14ac:dyDescent="0.25">
      <c r="F101" s="32">
        <v>16</v>
      </c>
      <c r="G101" s="32" t="s">
        <v>105</v>
      </c>
      <c r="H101" s="32" t="s">
        <v>106</v>
      </c>
      <c r="I101" s="34">
        <v>27080</v>
      </c>
      <c r="J101" s="32"/>
      <c r="K101" s="32"/>
    </row>
    <row r="102" spans="6:11" x14ac:dyDescent="0.25">
      <c r="F102" s="32">
        <v>15</v>
      </c>
      <c r="G102" s="32" t="s">
        <v>94</v>
      </c>
      <c r="H102" s="32" t="s">
        <v>109</v>
      </c>
      <c r="I102" s="34">
        <v>32742</v>
      </c>
      <c r="J102" s="32"/>
      <c r="K102" s="32"/>
    </row>
    <row r="103" spans="6:11" x14ac:dyDescent="0.25">
      <c r="F103" s="32">
        <v>15</v>
      </c>
      <c r="G103" s="32" t="s">
        <v>95</v>
      </c>
      <c r="H103" s="32" t="s">
        <v>109</v>
      </c>
      <c r="I103" s="34">
        <v>23713</v>
      </c>
      <c r="J103" s="32"/>
      <c r="K103" s="32"/>
    </row>
    <row r="104" spans="6:11" x14ac:dyDescent="0.25">
      <c r="F104" s="32">
        <v>15</v>
      </c>
      <c r="G104" s="32" t="s">
        <v>96</v>
      </c>
      <c r="H104" s="32" t="s">
        <v>109</v>
      </c>
      <c r="I104" s="34">
        <v>32997</v>
      </c>
      <c r="J104" s="32"/>
      <c r="K104" s="32"/>
    </row>
    <row r="105" spans="6:11" x14ac:dyDescent="0.25">
      <c r="F105" s="32">
        <v>15</v>
      </c>
      <c r="G105" s="32" t="s">
        <v>97</v>
      </c>
      <c r="H105" s="32" t="s">
        <v>108</v>
      </c>
      <c r="I105" s="34">
        <v>41055</v>
      </c>
      <c r="J105" s="32"/>
      <c r="K105" s="32"/>
    </row>
    <row r="106" spans="6:11" x14ac:dyDescent="0.25">
      <c r="F106" s="32">
        <v>15</v>
      </c>
      <c r="G106" s="32" t="s">
        <v>98</v>
      </c>
      <c r="H106" s="32" t="s">
        <v>108</v>
      </c>
      <c r="I106" s="34">
        <v>49306</v>
      </c>
      <c r="J106" s="32"/>
      <c r="K106" s="32"/>
    </row>
    <row r="107" spans="6:11" x14ac:dyDescent="0.25">
      <c r="F107" s="32">
        <v>15</v>
      </c>
      <c r="G107" s="32" t="s">
        <v>99</v>
      </c>
      <c r="H107" s="32" t="s">
        <v>108</v>
      </c>
      <c r="I107" s="34">
        <v>47412</v>
      </c>
      <c r="J107" s="32"/>
      <c r="K107" s="32"/>
    </row>
    <row r="108" spans="6:11" x14ac:dyDescent="0.25">
      <c r="F108" s="32">
        <v>15</v>
      </c>
      <c r="G108" s="32" t="s">
        <v>100</v>
      </c>
      <c r="H108" s="32" t="s">
        <v>107</v>
      </c>
      <c r="I108" s="34">
        <v>35602</v>
      </c>
      <c r="J108" s="32"/>
      <c r="K108" s="32"/>
    </row>
    <row r="109" spans="6:11" x14ac:dyDescent="0.25">
      <c r="F109" s="32">
        <v>15</v>
      </c>
      <c r="G109" s="32" t="s">
        <v>101</v>
      </c>
      <c r="H109" s="32" t="s">
        <v>107</v>
      </c>
      <c r="I109" s="34">
        <v>30232</v>
      </c>
      <c r="J109" s="32"/>
      <c r="K109" s="32"/>
    </row>
    <row r="110" spans="6:11" x14ac:dyDescent="0.25">
      <c r="F110" s="32">
        <v>15</v>
      </c>
      <c r="G110" s="32" t="s">
        <v>102</v>
      </c>
      <c r="H110" s="32" t="s">
        <v>107</v>
      </c>
      <c r="I110" s="34">
        <v>38980</v>
      </c>
      <c r="J110" s="32"/>
      <c r="K110" s="32"/>
    </row>
    <row r="111" spans="6:11" x14ac:dyDescent="0.25">
      <c r="F111" s="32">
        <v>15</v>
      </c>
      <c r="G111" s="32" t="s">
        <v>103</v>
      </c>
      <c r="H111" s="32" t="s">
        <v>106</v>
      </c>
      <c r="I111" s="34">
        <v>35797</v>
      </c>
      <c r="J111" s="32"/>
      <c r="K111" s="32"/>
    </row>
    <row r="112" spans="6:11" x14ac:dyDescent="0.25">
      <c r="F112" s="32">
        <v>15</v>
      </c>
      <c r="G112" s="32" t="s">
        <v>104</v>
      </c>
      <c r="H112" s="32" t="s">
        <v>106</v>
      </c>
      <c r="I112" s="34">
        <v>29756</v>
      </c>
      <c r="J112" s="32"/>
      <c r="K112" s="32"/>
    </row>
    <row r="113" spans="6:11" x14ac:dyDescent="0.25">
      <c r="F113" s="32">
        <v>15</v>
      </c>
      <c r="G113" s="32" t="s">
        <v>105</v>
      </c>
      <c r="H113" s="32" t="s">
        <v>106</v>
      </c>
      <c r="I113" s="34">
        <v>26440</v>
      </c>
      <c r="J113" s="32"/>
      <c r="K113" s="32"/>
    </row>
    <row r="114" spans="6:11" x14ac:dyDescent="0.25">
      <c r="F114" s="32">
        <v>14</v>
      </c>
      <c r="G114" s="32" t="s">
        <v>94</v>
      </c>
      <c r="H114" s="32" t="s">
        <v>109</v>
      </c>
      <c r="I114" s="34">
        <v>33226</v>
      </c>
      <c r="J114" s="32"/>
      <c r="K114" s="32"/>
    </row>
    <row r="115" spans="6:11" x14ac:dyDescent="0.25">
      <c r="F115" s="32">
        <v>14</v>
      </c>
      <c r="G115" s="32" t="s">
        <v>95</v>
      </c>
      <c r="H115" s="32" t="s">
        <v>109</v>
      </c>
      <c r="I115" s="34">
        <v>30498</v>
      </c>
      <c r="J115" s="32"/>
      <c r="K115" s="32"/>
    </row>
    <row r="116" spans="6:11" x14ac:dyDescent="0.25">
      <c r="F116" s="32">
        <v>14</v>
      </c>
      <c r="G116" s="32" t="s">
        <v>96</v>
      </c>
      <c r="H116" s="32" t="s">
        <v>109</v>
      </c>
      <c r="I116" s="34">
        <v>33773</v>
      </c>
      <c r="J116" s="32"/>
      <c r="K116" s="32"/>
    </row>
    <row r="117" spans="6:11" x14ac:dyDescent="0.25">
      <c r="F117" s="32">
        <v>14</v>
      </c>
      <c r="G117" s="32" t="s">
        <v>97</v>
      </c>
      <c r="H117" s="32" t="s">
        <v>108</v>
      </c>
      <c r="I117" s="34">
        <v>37905</v>
      </c>
      <c r="J117" s="32"/>
      <c r="K117" s="32"/>
    </row>
    <row r="118" spans="6:11" x14ac:dyDescent="0.25">
      <c r="F118" s="32">
        <v>14</v>
      </c>
      <c r="G118" s="32" t="s">
        <v>98</v>
      </c>
      <c r="H118" s="32" t="s">
        <v>108</v>
      </c>
      <c r="I118" s="34">
        <v>45559</v>
      </c>
      <c r="J118" s="32"/>
      <c r="K118" s="32"/>
    </row>
    <row r="119" spans="6:11" x14ac:dyDescent="0.25">
      <c r="F119" s="32">
        <v>14</v>
      </c>
      <c r="G119" s="32" t="s">
        <v>99</v>
      </c>
      <c r="H119" s="32" t="s">
        <v>108</v>
      </c>
      <c r="I119" s="34">
        <v>48490</v>
      </c>
      <c r="J119" s="32"/>
      <c r="K119" s="32"/>
    </row>
    <row r="120" spans="6:11" x14ac:dyDescent="0.25">
      <c r="F120" s="32">
        <v>14</v>
      </c>
      <c r="G120" s="32" t="s">
        <v>100</v>
      </c>
      <c r="H120" s="32" t="s">
        <v>107</v>
      </c>
      <c r="I120" s="34">
        <v>32612</v>
      </c>
      <c r="J120" s="32"/>
      <c r="K120" s="32"/>
    </row>
    <row r="121" spans="6:11" x14ac:dyDescent="0.25">
      <c r="F121" s="32">
        <v>14</v>
      </c>
      <c r="G121" s="32" t="s">
        <v>101</v>
      </c>
      <c r="H121" s="32" t="s">
        <v>107</v>
      </c>
      <c r="I121" s="34">
        <v>30154</v>
      </c>
      <c r="J121" s="32"/>
      <c r="K121" s="32"/>
    </row>
    <row r="122" spans="6:11" x14ac:dyDescent="0.25">
      <c r="F122" s="32">
        <v>14</v>
      </c>
      <c r="G122" s="32" t="s">
        <v>102</v>
      </c>
      <c r="H122" s="32" t="s">
        <v>107</v>
      </c>
      <c r="I122" s="34">
        <v>36054</v>
      </c>
      <c r="J122" s="32"/>
      <c r="K122" s="32"/>
    </row>
    <row r="123" spans="6:11" x14ac:dyDescent="0.25">
      <c r="F123" s="32">
        <v>14</v>
      </c>
      <c r="G123" s="32" t="s">
        <v>103</v>
      </c>
      <c r="H123" s="32" t="s">
        <v>106</v>
      </c>
      <c r="I123" s="34">
        <v>35116</v>
      </c>
      <c r="J123" s="32"/>
      <c r="K123" s="32"/>
    </row>
    <row r="124" spans="6:11" x14ac:dyDescent="0.25">
      <c r="F124" s="32">
        <v>14</v>
      </c>
      <c r="G124" s="32" t="s">
        <v>104</v>
      </c>
      <c r="H124" s="32" t="s">
        <v>106</v>
      </c>
      <c r="I124" s="34">
        <v>27954</v>
      </c>
      <c r="J124" s="32"/>
      <c r="K124" s="32"/>
    </row>
    <row r="125" spans="6:11" x14ac:dyDescent="0.25">
      <c r="F125" s="32">
        <v>14</v>
      </c>
      <c r="G125" s="32" t="s">
        <v>105</v>
      </c>
      <c r="H125" s="32" t="s">
        <v>106</v>
      </c>
      <c r="I125" s="34">
        <v>25518</v>
      </c>
      <c r="J125" s="32"/>
      <c r="K125" s="32"/>
    </row>
    <row r="126" spans="6:11" x14ac:dyDescent="0.25">
      <c r="F126" s="32">
        <v>13</v>
      </c>
      <c r="G126" s="32" t="s">
        <v>94</v>
      </c>
      <c r="H126" s="32" t="s">
        <v>109</v>
      </c>
      <c r="I126" s="34">
        <v>31903</v>
      </c>
      <c r="J126" s="32"/>
      <c r="K126" s="32"/>
    </row>
    <row r="127" spans="6:11" x14ac:dyDescent="0.25">
      <c r="F127" s="32">
        <v>13</v>
      </c>
      <c r="G127" s="32" t="s">
        <v>95</v>
      </c>
      <c r="H127" s="32" t="s">
        <v>109</v>
      </c>
      <c r="I127" s="34">
        <v>31736</v>
      </c>
      <c r="J127" s="32"/>
      <c r="K127" s="32"/>
    </row>
    <row r="128" spans="6:11" x14ac:dyDescent="0.25">
      <c r="F128" s="32">
        <v>13</v>
      </c>
      <c r="G128" s="32" t="s">
        <v>96</v>
      </c>
      <c r="H128" s="32" t="s">
        <v>109</v>
      </c>
      <c r="I128" s="34">
        <v>32102</v>
      </c>
      <c r="J128" s="32"/>
      <c r="K128" s="32"/>
    </row>
    <row r="129" spans="6:11" x14ac:dyDescent="0.25">
      <c r="F129" s="32">
        <v>13</v>
      </c>
      <c r="G129" s="32" t="s">
        <v>97</v>
      </c>
      <c r="H129" s="32" t="s">
        <v>108</v>
      </c>
      <c r="I129" s="34">
        <v>38286</v>
      </c>
      <c r="J129" s="32"/>
      <c r="K129" s="32"/>
    </row>
    <row r="130" spans="6:11" x14ac:dyDescent="0.25">
      <c r="F130" s="32">
        <v>13</v>
      </c>
      <c r="G130" s="32" t="s">
        <v>98</v>
      </c>
      <c r="H130" s="32" t="s">
        <v>108</v>
      </c>
      <c r="I130" s="34">
        <v>50390</v>
      </c>
      <c r="J130" s="32"/>
      <c r="K130" s="32"/>
    </row>
    <row r="131" spans="6:11" x14ac:dyDescent="0.25">
      <c r="F131" s="32">
        <v>13</v>
      </c>
      <c r="G131" s="32" t="s">
        <v>99</v>
      </c>
      <c r="H131" s="32" t="s">
        <v>108</v>
      </c>
      <c r="I131" s="34">
        <v>47151</v>
      </c>
      <c r="J131" s="32"/>
      <c r="K131" s="32"/>
    </row>
    <row r="132" spans="6:11" x14ac:dyDescent="0.25">
      <c r="F132" s="32">
        <v>13</v>
      </c>
      <c r="G132" s="32" t="s">
        <v>100</v>
      </c>
      <c r="H132" s="32" t="s">
        <v>107</v>
      </c>
      <c r="I132" s="34">
        <v>36979</v>
      </c>
      <c r="J132" s="32"/>
      <c r="K132" s="32"/>
    </row>
    <row r="133" spans="6:11" x14ac:dyDescent="0.25">
      <c r="F133" s="32">
        <v>13</v>
      </c>
      <c r="G133" s="32" t="s">
        <v>101</v>
      </c>
      <c r="H133" s="32" t="s">
        <v>107</v>
      </c>
      <c r="I133" s="34">
        <v>34125</v>
      </c>
      <c r="J133" s="32"/>
      <c r="K133" s="32"/>
    </row>
    <row r="134" spans="6:11" x14ac:dyDescent="0.25">
      <c r="F134" s="32">
        <v>13</v>
      </c>
      <c r="G134" s="32" t="s">
        <v>102</v>
      </c>
      <c r="H134" s="32" t="s">
        <v>107</v>
      </c>
      <c r="I134" s="34">
        <v>41186</v>
      </c>
      <c r="J134" s="32"/>
      <c r="K134" s="32"/>
    </row>
    <row r="135" spans="6:11" x14ac:dyDescent="0.25">
      <c r="F135" s="32">
        <v>13</v>
      </c>
      <c r="G135" s="32" t="s">
        <v>103</v>
      </c>
      <c r="H135" s="32" t="s">
        <v>106</v>
      </c>
      <c r="I135" s="34">
        <v>44689</v>
      </c>
      <c r="J135" s="32"/>
      <c r="K135" s="32"/>
    </row>
    <row r="136" spans="6:11" x14ac:dyDescent="0.25">
      <c r="F136" s="32">
        <v>13</v>
      </c>
      <c r="G136" s="32" t="s">
        <v>104</v>
      </c>
      <c r="H136" s="32" t="s">
        <v>106</v>
      </c>
      <c r="I136" s="34">
        <v>34247</v>
      </c>
      <c r="J136" s="32"/>
      <c r="K136" s="32"/>
    </row>
    <row r="137" spans="6:11" x14ac:dyDescent="0.25">
      <c r="F137" s="32">
        <v>13</v>
      </c>
      <c r="G137" s="32" t="s">
        <v>105</v>
      </c>
      <c r="H137" s="32" t="s">
        <v>106</v>
      </c>
      <c r="I137" s="34">
        <v>35352</v>
      </c>
      <c r="J137" s="32"/>
      <c r="K137" s="32"/>
    </row>
    <row r="138" spans="6:11" x14ac:dyDescent="0.25">
      <c r="F138" s="32">
        <v>12</v>
      </c>
      <c r="G138" s="32" t="s">
        <v>94</v>
      </c>
      <c r="H138" s="32" t="s">
        <v>109</v>
      </c>
      <c r="I138" s="34">
        <v>38196</v>
      </c>
      <c r="J138" s="32"/>
      <c r="K138" s="32"/>
    </row>
    <row r="139" spans="6:11" x14ac:dyDescent="0.25">
      <c r="F139" s="32">
        <v>12</v>
      </c>
      <c r="G139" s="32" t="s">
        <v>95</v>
      </c>
      <c r="H139" s="32" t="s">
        <v>109</v>
      </c>
      <c r="I139" s="34">
        <v>37607</v>
      </c>
      <c r="J139" s="32"/>
      <c r="K139" s="32"/>
    </row>
    <row r="140" spans="6:11" x14ac:dyDescent="0.25">
      <c r="F140" s="32">
        <v>12</v>
      </c>
      <c r="G140" s="32" t="s">
        <v>96</v>
      </c>
      <c r="H140" s="32" t="s">
        <v>109</v>
      </c>
      <c r="I140" s="34">
        <v>50892</v>
      </c>
      <c r="J140" s="32"/>
      <c r="K140" s="32"/>
    </row>
    <row r="141" spans="6:11" x14ac:dyDescent="0.25">
      <c r="F141" s="32">
        <v>12</v>
      </c>
      <c r="G141" s="32" t="s">
        <v>97</v>
      </c>
      <c r="H141" s="32" t="s">
        <v>108</v>
      </c>
      <c r="I141" s="34">
        <v>44767</v>
      </c>
      <c r="J141" s="32"/>
      <c r="K141" s="32"/>
    </row>
    <row r="142" spans="6:11" x14ac:dyDescent="0.25">
      <c r="F142" s="32">
        <v>12</v>
      </c>
      <c r="G142" s="32" t="s">
        <v>98</v>
      </c>
      <c r="H142" s="32" t="s">
        <v>108</v>
      </c>
      <c r="I142" s="34">
        <v>57894</v>
      </c>
      <c r="J142" s="32"/>
      <c r="K142" s="32"/>
    </row>
    <row r="143" spans="6:11" x14ac:dyDescent="0.25">
      <c r="F143" s="32">
        <v>12</v>
      </c>
      <c r="G143" s="32" t="s">
        <v>99</v>
      </c>
      <c r="H143" s="32" t="s">
        <v>108</v>
      </c>
      <c r="I143" s="34">
        <v>55096</v>
      </c>
      <c r="J143" s="32"/>
      <c r="K143" s="32"/>
    </row>
    <row r="144" spans="6:11" x14ac:dyDescent="0.25">
      <c r="F144" s="32">
        <v>12</v>
      </c>
      <c r="G144" s="32" t="s">
        <v>100</v>
      </c>
      <c r="H144" s="32" t="s">
        <v>107</v>
      </c>
      <c r="I144" s="34">
        <v>42610</v>
      </c>
      <c r="J144" s="32"/>
      <c r="K144" s="32"/>
    </row>
    <row r="145" spans="6:11" x14ac:dyDescent="0.25">
      <c r="F145" s="32">
        <v>12</v>
      </c>
      <c r="G145" s="32" t="s">
        <v>101</v>
      </c>
      <c r="H145" s="32" t="s">
        <v>107</v>
      </c>
      <c r="I145" s="34">
        <v>37770</v>
      </c>
      <c r="J145" s="32"/>
      <c r="K145" s="32"/>
    </row>
    <row r="146" spans="6:11" x14ac:dyDescent="0.25">
      <c r="F146" s="32">
        <v>12</v>
      </c>
      <c r="G146" s="32" t="s">
        <v>102</v>
      </c>
      <c r="H146" s="32" t="s">
        <v>107</v>
      </c>
      <c r="I146" s="34">
        <v>48185</v>
      </c>
      <c r="J146" s="32"/>
      <c r="K146" s="32"/>
    </row>
    <row r="147" spans="6:11" x14ac:dyDescent="0.25">
      <c r="F147" s="32">
        <v>12</v>
      </c>
      <c r="G147" s="32" t="s">
        <v>103</v>
      </c>
      <c r="H147" s="32" t="s">
        <v>106</v>
      </c>
      <c r="I147" s="34">
        <v>51109</v>
      </c>
      <c r="J147" s="32"/>
      <c r="K147" s="32"/>
    </row>
    <row r="148" spans="6:11" x14ac:dyDescent="0.25">
      <c r="F148" s="32">
        <v>12</v>
      </c>
      <c r="G148" s="32" t="s">
        <v>104</v>
      </c>
      <c r="H148" s="32" t="s">
        <v>106</v>
      </c>
      <c r="I148" s="34">
        <v>44245</v>
      </c>
      <c r="J148" s="32"/>
      <c r="K148" s="32"/>
    </row>
    <row r="149" spans="6:11" x14ac:dyDescent="0.25">
      <c r="F149" s="32">
        <v>12</v>
      </c>
      <c r="G149" s="32" t="s">
        <v>105</v>
      </c>
      <c r="H149" s="32" t="s">
        <v>106</v>
      </c>
      <c r="I149" s="34">
        <v>41648</v>
      </c>
      <c r="J149" s="32"/>
      <c r="K149" s="32"/>
    </row>
    <row r="150" spans="6:11" x14ac:dyDescent="0.25">
      <c r="F150" s="32">
        <v>11</v>
      </c>
      <c r="G150" s="32" t="s">
        <v>94</v>
      </c>
      <c r="H150" s="32" t="s">
        <v>109</v>
      </c>
      <c r="I150" s="34">
        <v>49386</v>
      </c>
      <c r="J150" s="32"/>
      <c r="K150" s="32"/>
    </row>
    <row r="151" spans="6:11" x14ac:dyDescent="0.25">
      <c r="F151" s="32">
        <v>11</v>
      </c>
      <c r="G151" s="32" t="s">
        <v>95</v>
      </c>
      <c r="H151" s="32" t="s">
        <v>109</v>
      </c>
      <c r="I151" s="34">
        <v>48728</v>
      </c>
      <c r="J151" s="32"/>
      <c r="K151" s="32"/>
    </row>
    <row r="152" spans="6:11" x14ac:dyDescent="0.25">
      <c r="F152" s="32">
        <v>11</v>
      </c>
      <c r="G152" s="32" t="s">
        <v>96</v>
      </c>
      <c r="H152" s="32" t="s">
        <v>109</v>
      </c>
      <c r="I152" s="34">
        <v>62605</v>
      </c>
      <c r="J152" s="32"/>
      <c r="K152" s="32"/>
    </row>
    <row r="153" spans="6:11" x14ac:dyDescent="0.25">
      <c r="F153" s="32">
        <v>11</v>
      </c>
      <c r="G153" s="32" t="s">
        <v>97</v>
      </c>
      <c r="H153" s="32" t="s">
        <v>108</v>
      </c>
      <c r="I153" s="34">
        <v>64936</v>
      </c>
      <c r="J153" s="32"/>
      <c r="K153" s="32"/>
    </row>
    <row r="154" spans="6:11" x14ac:dyDescent="0.25">
      <c r="F154" s="32">
        <v>11</v>
      </c>
      <c r="G154" s="32" t="s">
        <v>98</v>
      </c>
      <c r="H154" s="32" t="s">
        <v>108</v>
      </c>
      <c r="I154" s="34">
        <v>84022</v>
      </c>
      <c r="J154" s="32"/>
      <c r="K154" s="32"/>
    </row>
    <row r="155" spans="6:11" x14ac:dyDescent="0.25">
      <c r="F155" s="32">
        <v>11</v>
      </c>
      <c r="G155" s="32" t="s">
        <v>99</v>
      </c>
      <c r="H155" s="32" t="s">
        <v>108</v>
      </c>
      <c r="I155" s="34">
        <v>79103</v>
      </c>
      <c r="J155" s="32"/>
      <c r="K155" s="32"/>
    </row>
    <row r="156" spans="6:11" x14ac:dyDescent="0.25">
      <c r="F156" s="32">
        <v>11</v>
      </c>
      <c r="G156" s="32" t="s">
        <v>100</v>
      </c>
      <c r="H156" s="32" t="s">
        <v>107</v>
      </c>
      <c r="I156" s="34">
        <v>63153</v>
      </c>
      <c r="J156" s="32"/>
      <c r="K156" s="32"/>
    </row>
    <row r="157" spans="6:11" x14ac:dyDescent="0.25">
      <c r="F157" s="32">
        <v>11</v>
      </c>
      <c r="G157" s="32" t="s">
        <v>101</v>
      </c>
      <c r="H157" s="32" t="s">
        <v>107</v>
      </c>
      <c r="I157" s="34">
        <v>63122</v>
      </c>
      <c r="J157" s="32"/>
      <c r="K157" s="32"/>
    </row>
    <row r="158" spans="6:11" x14ac:dyDescent="0.25">
      <c r="F158" s="32">
        <v>11</v>
      </c>
      <c r="G158" s="32" t="s">
        <v>102</v>
      </c>
      <c r="H158" s="32" t="s">
        <v>107</v>
      </c>
      <c r="I158" s="34">
        <v>73305</v>
      </c>
      <c r="J158" s="32"/>
      <c r="K158" s="32"/>
    </row>
    <row r="159" spans="6:11" x14ac:dyDescent="0.25">
      <c r="F159" s="32">
        <v>11</v>
      </c>
      <c r="G159" s="32" t="s">
        <v>103</v>
      </c>
      <c r="H159" s="32" t="s">
        <v>106</v>
      </c>
      <c r="I159" s="34">
        <v>65940</v>
      </c>
      <c r="J159" s="32"/>
      <c r="K159" s="32"/>
    </row>
    <row r="160" spans="6:11" x14ac:dyDescent="0.25">
      <c r="F160" s="32">
        <v>11</v>
      </c>
      <c r="G160" s="32" t="s">
        <v>104</v>
      </c>
      <c r="H160" s="32" t="s">
        <v>106</v>
      </c>
      <c r="I160" s="34">
        <v>52497</v>
      </c>
      <c r="J160" s="32"/>
      <c r="K160" s="32"/>
    </row>
    <row r="161" spans="6:11" x14ac:dyDescent="0.25">
      <c r="F161" s="32">
        <v>11</v>
      </c>
      <c r="G161" s="32" t="s">
        <v>105</v>
      </c>
      <c r="H161" s="32" t="s">
        <v>106</v>
      </c>
      <c r="I161" s="34">
        <v>43730</v>
      </c>
      <c r="J161" s="32"/>
      <c r="K161" s="32"/>
    </row>
    <row r="162" spans="6:11" x14ac:dyDescent="0.25">
      <c r="F162" s="32">
        <v>10</v>
      </c>
      <c r="G162" s="32" t="s">
        <v>94</v>
      </c>
      <c r="H162" s="32" t="s">
        <v>109</v>
      </c>
      <c r="I162" s="34">
        <v>48557</v>
      </c>
      <c r="J162" s="32"/>
      <c r="K162" s="32"/>
    </row>
    <row r="163" spans="6:11" x14ac:dyDescent="0.25">
      <c r="F163" s="32">
        <v>10</v>
      </c>
      <c r="G163" s="32" t="s">
        <v>95</v>
      </c>
      <c r="H163" s="32" t="s">
        <v>109</v>
      </c>
      <c r="I163" s="34">
        <v>54884</v>
      </c>
      <c r="J163" s="32"/>
      <c r="K163" s="32"/>
    </row>
    <row r="164" spans="6:11" x14ac:dyDescent="0.25">
      <c r="F164" s="32">
        <v>10</v>
      </c>
      <c r="G164" s="32" t="s">
        <v>96</v>
      </c>
      <c r="H164" s="32" t="s">
        <v>109</v>
      </c>
      <c r="I164" s="34">
        <v>54346</v>
      </c>
      <c r="J164" s="32"/>
      <c r="K164" s="32"/>
    </row>
    <row r="165" spans="6:11" x14ac:dyDescent="0.25">
      <c r="F165" s="32">
        <v>10</v>
      </c>
      <c r="G165" s="32" t="s">
        <v>97</v>
      </c>
      <c r="H165" s="32" t="s">
        <v>108</v>
      </c>
      <c r="I165" s="34">
        <v>57168</v>
      </c>
      <c r="J165" s="32"/>
      <c r="K165" s="32"/>
    </row>
    <row r="166" spans="6:11" x14ac:dyDescent="0.25">
      <c r="F166" s="32">
        <v>10</v>
      </c>
      <c r="G166" s="32" t="s">
        <v>98</v>
      </c>
      <c r="H166" s="32" t="s">
        <v>108</v>
      </c>
      <c r="I166" s="34">
        <v>81636</v>
      </c>
      <c r="J166" s="32"/>
      <c r="K166" s="32"/>
    </row>
    <row r="167" spans="6:11" x14ac:dyDescent="0.25">
      <c r="F167" s="32">
        <v>10</v>
      </c>
      <c r="G167" s="32" t="s">
        <v>99</v>
      </c>
      <c r="H167" s="32" t="s">
        <v>108</v>
      </c>
      <c r="I167" s="34">
        <v>73883</v>
      </c>
      <c r="J167" s="32"/>
      <c r="K167" s="32"/>
    </row>
    <row r="168" spans="6:11" x14ac:dyDescent="0.25">
      <c r="F168" s="32">
        <v>10</v>
      </c>
      <c r="G168" s="32" t="s">
        <v>100</v>
      </c>
      <c r="H168" s="32" t="s">
        <v>107</v>
      </c>
      <c r="I168" s="34">
        <v>46396</v>
      </c>
      <c r="J168" s="32"/>
      <c r="K168" s="32"/>
    </row>
    <row r="169" spans="6:11" x14ac:dyDescent="0.25">
      <c r="F169" s="32">
        <v>10</v>
      </c>
      <c r="G169" s="32" t="s">
        <v>101</v>
      </c>
      <c r="H169" s="32" t="s">
        <v>107</v>
      </c>
      <c r="I169" s="34">
        <v>40783</v>
      </c>
      <c r="J169" s="32"/>
      <c r="K169" s="32"/>
    </row>
    <row r="170" spans="6:11" x14ac:dyDescent="0.25">
      <c r="F170" s="32">
        <v>10</v>
      </c>
      <c r="G170" s="32" t="s">
        <v>102</v>
      </c>
      <c r="H170" s="32" t="s">
        <v>107</v>
      </c>
      <c r="I170" s="34">
        <v>40902</v>
      </c>
      <c r="J170" s="32"/>
      <c r="K170" s="32"/>
    </row>
    <row r="171" spans="6:11" x14ac:dyDescent="0.25">
      <c r="F171" s="32">
        <v>10</v>
      </c>
      <c r="G171" s="32" t="s">
        <v>103</v>
      </c>
      <c r="H171" s="32" t="s">
        <v>106</v>
      </c>
      <c r="I171" s="34">
        <v>43901</v>
      </c>
      <c r="J171" s="32"/>
      <c r="K171" s="32"/>
    </row>
    <row r="172" spans="6:11" x14ac:dyDescent="0.25">
      <c r="F172" s="32">
        <v>10</v>
      </c>
      <c r="G172" s="32" t="s">
        <v>104</v>
      </c>
      <c r="H172" s="32" t="s">
        <v>106</v>
      </c>
      <c r="I172" s="34">
        <v>33397</v>
      </c>
      <c r="J172" s="32"/>
      <c r="K172" s="32"/>
    </row>
    <row r="173" spans="6:11" x14ac:dyDescent="0.25">
      <c r="F173" s="32">
        <v>10</v>
      </c>
      <c r="G173" s="32" t="s">
        <v>105</v>
      </c>
      <c r="H173" s="32" t="s">
        <v>106</v>
      </c>
      <c r="I173" s="34">
        <v>29700</v>
      </c>
      <c r="J173" s="32"/>
      <c r="K173" s="32"/>
    </row>
    <row r="174" spans="6:11" x14ac:dyDescent="0.25">
      <c r="F174" s="32">
        <v>9</v>
      </c>
      <c r="G174" s="32" t="s">
        <v>94</v>
      </c>
      <c r="H174" s="32" t="s">
        <v>109</v>
      </c>
      <c r="I174" s="34">
        <v>36559</v>
      </c>
      <c r="J174" s="32"/>
      <c r="K174" s="32"/>
    </row>
    <row r="175" spans="6:11" x14ac:dyDescent="0.25">
      <c r="F175" s="32">
        <v>9</v>
      </c>
      <c r="G175" s="32" t="s">
        <v>95</v>
      </c>
      <c r="H175" s="32" t="s">
        <v>109</v>
      </c>
      <c r="I175" s="34">
        <v>36505</v>
      </c>
      <c r="J175" s="32"/>
      <c r="K175" s="32"/>
    </row>
    <row r="176" spans="6:11" x14ac:dyDescent="0.25">
      <c r="F176" s="32">
        <v>9</v>
      </c>
      <c r="G176" s="32" t="s">
        <v>96</v>
      </c>
      <c r="H176" s="32" t="s">
        <v>109</v>
      </c>
      <c r="I176" s="34">
        <v>40484</v>
      </c>
      <c r="J176" s="32"/>
      <c r="K176" s="32"/>
    </row>
    <row r="177" spans="6:11" x14ac:dyDescent="0.25">
      <c r="F177" s="32">
        <v>9</v>
      </c>
      <c r="G177" s="32" t="s">
        <v>97</v>
      </c>
      <c r="H177" s="32" t="s">
        <v>108</v>
      </c>
      <c r="I177" s="34">
        <v>48391</v>
      </c>
      <c r="J177" s="32"/>
      <c r="K177" s="32"/>
    </row>
    <row r="178" spans="6:11" x14ac:dyDescent="0.25">
      <c r="F178" s="32">
        <v>9</v>
      </c>
      <c r="G178" s="32" t="s">
        <v>98</v>
      </c>
      <c r="H178" s="32" t="s">
        <v>108</v>
      </c>
      <c r="I178" s="34">
        <v>64618</v>
      </c>
      <c r="J178" s="32"/>
      <c r="K178" s="32"/>
    </row>
    <row r="179" spans="6:11" x14ac:dyDescent="0.25">
      <c r="F179" s="32">
        <v>9</v>
      </c>
      <c r="G179" s="32" t="s">
        <v>99</v>
      </c>
      <c r="H179" s="32" t="s">
        <v>108</v>
      </c>
      <c r="I179" s="34">
        <v>62653</v>
      </c>
      <c r="J179" s="32"/>
      <c r="K179" s="32"/>
    </row>
    <row r="180" spans="6:11" x14ac:dyDescent="0.25">
      <c r="F180" s="32">
        <v>9</v>
      </c>
      <c r="G180" s="32" t="s">
        <v>100</v>
      </c>
      <c r="H180" s="32" t="s">
        <v>107</v>
      </c>
      <c r="I180" s="34">
        <v>43476</v>
      </c>
      <c r="J180" s="32"/>
      <c r="K180" s="32"/>
    </row>
    <row r="181" spans="6:11" x14ac:dyDescent="0.25">
      <c r="F181" s="32">
        <v>9</v>
      </c>
      <c r="G181" s="32" t="s">
        <v>101</v>
      </c>
      <c r="H181" s="32" t="s">
        <v>107</v>
      </c>
      <c r="I181" s="34">
        <v>37915</v>
      </c>
      <c r="J181" s="32"/>
      <c r="K181" s="32"/>
    </row>
    <row r="182" spans="6:11" x14ac:dyDescent="0.25">
      <c r="F182" s="32">
        <v>9</v>
      </c>
      <c r="G182" s="32" t="s">
        <v>102</v>
      </c>
      <c r="H182" s="32" t="s">
        <v>107</v>
      </c>
      <c r="I182" s="34">
        <v>47506</v>
      </c>
      <c r="J182" s="32"/>
      <c r="K182" s="32"/>
    </row>
    <row r="183" spans="6:11" x14ac:dyDescent="0.25">
      <c r="F183" s="32">
        <v>9</v>
      </c>
      <c r="G183" s="32" t="s">
        <v>103</v>
      </c>
      <c r="H183" s="32" t="s">
        <v>106</v>
      </c>
      <c r="I183" s="34">
        <v>42715</v>
      </c>
      <c r="J183" s="32"/>
      <c r="K183" s="32"/>
    </row>
    <row r="184" spans="6:11" x14ac:dyDescent="0.25">
      <c r="F184" s="32">
        <v>9</v>
      </c>
      <c r="G184" s="32" t="s">
        <v>104</v>
      </c>
      <c r="H184" s="32" t="s">
        <v>106</v>
      </c>
      <c r="I184" s="34">
        <v>37581</v>
      </c>
      <c r="J184" s="32"/>
      <c r="K184" s="32"/>
    </row>
    <row r="185" spans="6:11" x14ac:dyDescent="0.25">
      <c r="F185" s="32">
        <v>9</v>
      </c>
      <c r="G185" s="32" t="s">
        <v>105</v>
      </c>
      <c r="H185" s="32" t="s">
        <v>106</v>
      </c>
      <c r="I185" s="34">
        <v>30954</v>
      </c>
      <c r="J185" s="32"/>
      <c r="K185" s="32"/>
    </row>
    <row r="186" spans="6:11" x14ac:dyDescent="0.25">
      <c r="F186" s="32">
        <v>8</v>
      </c>
      <c r="G186" s="32" t="s">
        <v>94</v>
      </c>
      <c r="H186" s="32" t="s">
        <v>109</v>
      </c>
      <c r="I186" s="34">
        <v>38119</v>
      </c>
      <c r="J186" s="32"/>
      <c r="K186" s="32"/>
    </row>
    <row r="187" spans="6:11" x14ac:dyDescent="0.25">
      <c r="F187" s="32">
        <v>8</v>
      </c>
      <c r="G187" s="32" t="s">
        <v>95</v>
      </c>
      <c r="H187" s="32" t="s">
        <v>109</v>
      </c>
      <c r="I187" s="34">
        <v>38263</v>
      </c>
      <c r="J187" s="32"/>
      <c r="K187" s="32"/>
    </row>
    <row r="188" spans="6:11" x14ac:dyDescent="0.25">
      <c r="F188" s="32">
        <v>8</v>
      </c>
      <c r="G188" s="32" t="s">
        <v>96</v>
      </c>
      <c r="H188" s="32" t="s">
        <v>109</v>
      </c>
      <c r="I188" s="34">
        <v>44329</v>
      </c>
      <c r="J188" s="32"/>
      <c r="K188" s="32"/>
    </row>
    <row r="189" spans="6:11" x14ac:dyDescent="0.25">
      <c r="F189" s="32">
        <v>8</v>
      </c>
      <c r="G189" s="32" t="s">
        <v>97</v>
      </c>
      <c r="H189" s="32" t="s">
        <v>108</v>
      </c>
      <c r="I189" s="34">
        <v>56959</v>
      </c>
      <c r="J189" s="32"/>
      <c r="K189" s="32"/>
    </row>
    <row r="190" spans="6:11" x14ac:dyDescent="0.25">
      <c r="F190" s="32">
        <v>8</v>
      </c>
      <c r="G190" s="32" t="s">
        <v>98</v>
      </c>
      <c r="H190" s="32" t="s">
        <v>108</v>
      </c>
      <c r="I190" s="34">
        <v>76285</v>
      </c>
      <c r="J190" s="32"/>
      <c r="K190" s="32"/>
    </row>
    <row r="191" spans="6:11" x14ac:dyDescent="0.25">
      <c r="F191" s="32">
        <v>8</v>
      </c>
      <c r="G191" s="32" t="s">
        <v>99</v>
      </c>
      <c r="H191" s="32" t="s">
        <v>108</v>
      </c>
      <c r="I191" s="34">
        <v>73024</v>
      </c>
      <c r="J191" s="32"/>
      <c r="K191" s="32"/>
    </row>
    <row r="192" spans="6:11" x14ac:dyDescent="0.25">
      <c r="F192" s="32">
        <v>8</v>
      </c>
      <c r="G192" s="32" t="s">
        <v>100</v>
      </c>
      <c r="H192" s="32" t="s">
        <v>107</v>
      </c>
      <c r="I192" s="34">
        <v>53611</v>
      </c>
      <c r="J192" s="32"/>
      <c r="K192" s="32"/>
    </row>
    <row r="193" spans="6:11" x14ac:dyDescent="0.25">
      <c r="F193" s="32">
        <v>8</v>
      </c>
      <c r="G193" s="32" t="s">
        <v>101</v>
      </c>
      <c r="H193" s="32" t="s">
        <v>107</v>
      </c>
      <c r="I193" s="34">
        <v>45571</v>
      </c>
      <c r="J193" s="32"/>
      <c r="K193" s="32"/>
    </row>
    <row r="194" spans="6:11" x14ac:dyDescent="0.25">
      <c r="F194" s="32">
        <v>8</v>
      </c>
      <c r="G194" s="32" t="s">
        <v>102</v>
      </c>
      <c r="H194" s="32" t="s">
        <v>107</v>
      </c>
      <c r="I194" s="34">
        <v>47675</v>
      </c>
      <c r="J194" s="32"/>
      <c r="K194" s="32"/>
    </row>
    <row r="195" spans="6:11" x14ac:dyDescent="0.25">
      <c r="F195" s="32">
        <v>8</v>
      </c>
      <c r="G195" s="32" t="s">
        <v>103</v>
      </c>
      <c r="H195" s="32" t="s">
        <v>106</v>
      </c>
      <c r="I195" s="34">
        <v>54402</v>
      </c>
      <c r="J195" s="32"/>
      <c r="K195" s="32"/>
    </row>
    <row r="196" spans="6:11" x14ac:dyDescent="0.25">
      <c r="F196" s="32">
        <v>8</v>
      </c>
      <c r="G196" s="32" t="s">
        <v>104</v>
      </c>
      <c r="H196" s="32" t="s">
        <v>106</v>
      </c>
      <c r="I196" s="34">
        <v>34399</v>
      </c>
      <c r="J196" s="32"/>
      <c r="K196" s="32"/>
    </row>
    <row r="197" spans="6:11" x14ac:dyDescent="0.25">
      <c r="F197" s="32">
        <v>8</v>
      </c>
      <c r="G197" s="32" t="s">
        <v>105</v>
      </c>
      <c r="H197" s="32" t="s">
        <v>106</v>
      </c>
      <c r="I197" s="34">
        <v>32997</v>
      </c>
      <c r="J197" s="32"/>
      <c r="K197" s="32"/>
    </row>
    <row r="198" spans="6:11" x14ac:dyDescent="0.25">
      <c r="F198" s="32">
        <v>7</v>
      </c>
      <c r="G198" s="32" t="s">
        <v>94</v>
      </c>
      <c r="H198" s="32" t="s">
        <v>109</v>
      </c>
      <c r="I198" s="34">
        <v>37901</v>
      </c>
      <c r="J198" s="32"/>
      <c r="K198" s="32"/>
    </row>
    <row r="199" spans="6:11" x14ac:dyDescent="0.25">
      <c r="F199" s="32">
        <v>7</v>
      </c>
      <c r="G199" s="32" t="s">
        <v>95</v>
      </c>
      <c r="H199" s="32" t="s">
        <v>109</v>
      </c>
      <c r="I199" s="34">
        <v>34486</v>
      </c>
      <c r="J199" s="32"/>
      <c r="K199" s="32"/>
    </row>
    <row r="200" spans="6:11" x14ac:dyDescent="0.25">
      <c r="F200" s="32">
        <v>7</v>
      </c>
      <c r="G200" s="32" t="s">
        <v>96</v>
      </c>
      <c r="H200" s="32" t="s">
        <v>109</v>
      </c>
      <c r="I200" s="34">
        <v>42249</v>
      </c>
      <c r="J200" s="32"/>
      <c r="K200" s="32"/>
    </row>
    <row r="201" spans="6:11" x14ac:dyDescent="0.25">
      <c r="F201" s="32">
        <v>7</v>
      </c>
      <c r="G201" s="32" t="s">
        <v>97</v>
      </c>
      <c r="H201" s="32" t="s">
        <v>108</v>
      </c>
      <c r="I201" s="34">
        <v>49244</v>
      </c>
      <c r="J201" s="32"/>
      <c r="K201" s="32"/>
    </row>
    <row r="202" spans="6:11" x14ac:dyDescent="0.25">
      <c r="F202" s="32">
        <v>7</v>
      </c>
      <c r="G202" s="32" t="s">
        <v>98</v>
      </c>
      <c r="H202" s="32" t="s">
        <v>108</v>
      </c>
      <c r="I202" s="34">
        <v>64466</v>
      </c>
      <c r="J202" s="32"/>
      <c r="K202" s="32"/>
    </row>
    <row r="203" spans="6:11" x14ac:dyDescent="0.25">
      <c r="F203" s="32">
        <v>7</v>
      </c>
      <c r="G203" s="32" t="s">
        <v>99</v>
      </c>
      <c r="H203" s="32" t="s">
        <v>108</v>
      </c>
      <c r="I203" s="34">
        <v>60011</v>
      </c>
      <c r="J203" s="32"/>
      <c r="K203" s="32"/>
    </row>
    <row r="204" spans="6:11" x14ac:dyDescent="0.25">
      <c r="F204" s="32">
        <v>7</v>
      </c>
      <c r="G204" s="32" t="s">
        <v>100</v>
      </c>
      <c r="H204" s="32" t="s">
        <v>107</v>
      </c>
      <c r="I204" s="34">
        <v>42191</v>
      </c>
      <c r="J204" s="32"/>
      <c r="K204" s="32"/>
    </row>
    <row r="205" spans="6:11" x14ac:dyDescent="0.25">
      <c r="F205" s="32">
        <v>7</v>
      </c>
      <c r="G205" s="32" t="s">
        <v>101</v>
      </c>
      <c r="H205" s="32" t="s">
        <v>107</v>
      </c>
      <c r="I205" s="34">
        <v>34053</v>
      </c>
      <c r="J205" s="32"/>
      <c r="K205" s="32"/>
    </row>
    <row r="206" spans="6:11" x14ac:dyDescent="0.25">
      <c r="F206" s="32">
        <v>7</v>
      </c>
      <c r="G206" s="32" t="s">
        <v>102</v>
      </c>
      <c r="H206" s="32" t="s">
        <v>107</v>
      </c>
      <c r="I206" s="34">
        <v>50170</v>
      </c>
      <c r="J206" s="32"/>
      <c r="K206" s="32"/>
    </row>
    <row r="207" spans="6:11" x14ac:dyDescent="0.25">
      <c r="F207" s="32">
        <v>7</v>
      </c>
      <c r="G207" s="32" t="s">
        <v>103</v>
      </c>
      <c r="H207" s="32" t="s">
        <v>106</v>
      </c>
      <c r="I207" s="34">
        <v>30074</v>
      </c>
      <c r="J207" s="32"/>
      <c r="K207" s="32"/>
    </row>
    <row r="208" spans="6:11" x14ac:dyDescent="0.25">
      <c r="F208" s="32">
        <v>7</v>
      </c>
      <c r="G208" s="32" t="s">
        <v>104</v>
      </c>
      <c r="H208" s="32" t="s">
        <v>106</v>
      </c>
      <c r="I208" s="34">
        <v>39442</v>
      </c>
      <c r="J208" s="32"/>
      <c r="K208" s="32"/>
    </row>
    <row r="209" spans="6:11" x14ac:dyDescent="0.25">
      <c r="F209" s="32">
        <v>7</v>
      </c>
      <c r="G209" s="32" t="s">
        <v>105</v>
      </c>
      <c r="H209" s="32" t="s">
        <v>106</v>
      </c>
      <c r="I209" s="34">
        <v>25365</v>
      </c>
      <c r="J209" s="32"/>
      <c r="K209" s="32"/>
    </row>
    <row r="210" spans="6:11" x14ac:dyDescent="0.25">
      <c r="F210" s="32">
        <v>6</v>
      </c>
      <c r="G210" s="32" t="s">
        <v>94</v>
      </c>
      <c r="H210" s="32" t="s">
        <v>109</v>
      </c>
      <c r="I210" s="34">
        <v>32407</v>
      </c>
      <c r="J210" s="32"/>
      <c r="K210" s="32"/>
    </row>
    <row r="211" spans="6:11" x14ac:dyDescent="0.25">
      <c r="F211" s="32">
        <v>6</v>
      </c>
      <c r="G211" s="32" t="s">
        <v>95</v>
      </c>
      <c r="H211" s="32" t="s">
        <v>109</v>
      </c>
      <c r="I211" s="34">
        <v>28439</v>
      </c>
      <c r="J211" s="32"/>
      <c r="K211" s="32"/>
    </row>
    <row r="212" spans="6:11" x14ac:dyDescent="0.25">
      <c r="F212" s="32">
        <v>6</v>
      </c>
      <c r="G212" s="32" t="s">
        <v>96</v>
      </c>
      <c r="H212" s="32" t="s">
        <v>109</v>
      </c>
      <c r="I212" s="34">
        <v>35891</v>
      </c>
      <c r="J212" s="32"/>
      <c r="K212" s="32"/>
    </row>
    <row r="213" spans="6:11" x14ac:dyDescent="0.25">
      <c r="F213" s="32">
        <v>6</v>
      </c>
      <c r="G213" s="32" t="s">
        <v>97</v>
      </c>
      <c r="H213" s="32" t="s">
        <v>108</v>
      </c>
      <c r="I213" s="34">
        <v>43531</v>
      </c>
      <c r="J213" s="32"/>
      <c r="K213" s="32"/>
    </row>
    <row r="214" spans="6:11" x14ac:dyDescent="0.25">
      <c r="F214" s="32">
        <v>6</v>
      </c>
      <c r="G214" s="32" t="s">
        <v>98</v>
      </c>
      <c r="H214" s="32" t="s">
        <v>108</v>
      </c>
      <c r="I214" s="34">
        <v>56983</v>
      </c>
      <c r="J214" s="32"/>
      <c r="K214" s="32"/>
    </row>
    <row r="215" spans="6:11" x14ac:dyDescent="0.25">
      <c r="F215" s="32">
        <v>6</v>
      </c>
      <c r="G215" s="32" t="s">
        <v>99</v>
      </c>
      <c r="H215" s="32" t="s">
        <v>108</v>
      </c>
      <c r="I215" s="34">
        <v>53327</v>
      </c>
      <c r="J215" s="32"/>
      <c r="K215" s="32"/>
    </row>
    <row r="216" spans="6:11" x14ac:dyDescent="0.25">
      <c r="F216" s="32">
        <v>6</v>
      </c>
      <c r="G216" s="32" t="s">
        <v>100</v>
      </c>
      <c r="H216" s="32" t="s">
        <v>107</v>
      </c>
      <c r="I216" s="34">
        <v>30668</v>
      </c>
      <c r="J216" s="32"/>
      <c r="K216" s="32"/>
    </row>
    <row r="217" spans="6:11" x14ac:dyDescent="0.25">
      <c r="F217" s="32">
        <v>6</v>
      </c>
      <c r="G217" s="32" t="s">
        <v>101</v>
      </c>
      <c r="H217" s="32" t="s">
        <v>107</v>
      </c>
      <c r="I217" s="34">
        <v>31591</v>
      </c>
      <c r="J217" s="32"/>
      <c r="K217" s="32"/>
    </row>
    <row r="218" spans="6:11" x14ac:dyDescent="0.25">
      <c r="F218" s="32">
        <v>6</v>
      </c>
      <c r="G218" s="32" t="s">
        <v>102</v>
      </c>
      <c r="H218" s="32" t="s">
        <v>107</v>
      </c>
      <c r="I218" s="34">
        <v>37894</v>
      </c>
      <c r="J218" s="32"/>
      <c r="K218" s="32"/>
    </row>
    <row r="219" spans="6:11" x14ac:dyDescent="0.25">
      <c r="F219" s="32">
        <v>6</v>
      </c>
      <c r="G219" s="32" t="s">
        <v>103</v>
      </c>
      <c r="H219" s="32" t="s">
        <v>106</v>
      </c>
      <c r="I219" s="34">
        <v>31479</v>
      </c>
      <c r="J219" s="32"/>
      <c r="K219" s="32"/>
    </row>
    <row r="220" spans="6:11" x14ac:dyDescent="0.25">
      <c r="F220" s="32">
        <v>6</v>
      </c>
      <c r="G220" s="32" t="s">
        <v>104</v>
      </c>
      <c r="H220" s="32" t="s">
        <v>106</v>
      </c>
      <c r="I220" s="34">
        <v>25258</v>
      </c>
      <c r="J220" s="32"/>
      <c r="K220" s="32"/>
    </row>
    <row r="221" spans="6:11" x14ac:dyDescent="0.25">
      <c r="F221" s="32">
        <v>6</v>
      </c>
      <c r="G221" s="32" t="s">
        <v>105</v>
      </c>
      <c r="H221" s="32" t="s">
        <v>106</v>
      </c>
      <c r="I221" s="34">
        <v>22091</v>
      </c>
      <c r="J221" s="32"/>
      <c r="K221" s="32"/>
    </row>
    <row r="222" spans="6:11" x14ac:dyDescent="0.25">
      <c r="F222" s="32">
        <v>5</v>
      </c>
      <c r="G222" s="32" t="s">
        <v>94</v>
      </c>
      <c r="H222" s="32" t="s">
        <v>109</v>
      </c>
      <c r="I222" s="34">
        <v>33919</v>
      </c>
      <c r="J222" s="32"/>
      <c r="K222" s="32"/>
    </row>
    <row r="223" spans="6:11" x14ac:dyDescent="0.25">
      <c r="F223" s="32">
        <v>5</v>
      </c>
      <c r="G223" s="32" t="s">
        <v>95</v>
      </c>
      <c r="H223" s="32" t="s">
        <v>109</v>
      </c>
      <c r="I223" s="34">
        <v>32428</v>
      </c>
      <c r="J223" s="32"/>
      <c r="K223" s="32"/>
    </row>
    <row r="224" spans="6:11" x14ac:dyDescent="0.25">
      <c r="F224" s="32">
        <v>5</v>
      </c>
      <c r="G224" s="32" t="s">
        <v>96</v>
      </c>
      <c r="H224" s="32" t="s">
        <v>109</v>
      </c>
      <c r="I224" s="34">
        <v>35862</v>
      </c>
      <c r="J224" s="32"/>
      <c r="K224" s="32"/>
    </row>
    <row r="225" spans="6:11" x14ac:dyDescent="0.25">
      <c r="F225" s="32">
        <v>5</v>
      </c>
      <c r="G225" s="32" t="s">
        <v>97</v>
      </c>
      <c r="H225" s="32" t="s">
        <v>108</v>
      </c>
      <c r="I225" s="34">
        <v>48207</v>
      </c>
      <c r="J225" s="32"/>
      <c r="K225" s="32"/>
    </row>
    <row r="226" spans="6:11" x14ac:dyDescent="0.25">
      <c r="F226" s="32">
        <v>5</v>
      </c>
      <c r="G226" s="32" t="s">
        <v>98</v>
      </c>
      <c r="H226" s="32" t="s">
        <v>108</v>
      </c>
      <c r="I226" s="34">
        <v>67478</v>
      </c>
      <c r="J226" s="32"/>
      <c r="K226" s="32"/>
    </row>
    <row r="227" spans="6:11" x14ac:dyDescent="0.25">
      <c r="F227" s="32">
        <v>5</v>
      </c>
      <c r="G227" s="32" t="s">
        <v>99</v>
      </c>
      <c r="H227" s="32" t="s">
        <v>108</v>
      </c>
      <c r="I227" s="34">
        <v>56965</v>
      </c>
      <c r="J227" s="32"/>
      <c r="K227" s="32"/>
    </row>
    <row r="228" spans="6:11" x14ac:dyDescent="0.25">
      <c r="F228" s="32">
        <v>5</v>
      </c>
      <c r="G228" s="32" t="s">
        <v>100</v>
      </c>
      <c r="H228" s="32" t="s">
        <v>107</v>
      </c>
      <c r="I228" s="34">
        <v>28962</v>
      </c>
      <c r="J228" s="32"/>
      <c r="K228" s="32"/>
    </row>
    <row r="229" spans="6:11" x14ac:dyDescent="0.25">
      <c r="F229" s="32">
        <v>5</v>
      </c>
      <c r="G229" s="32" t="s">
        <v>101</v>
      </c>
      <c r="H229" s="32" t="s">
        <v>107</v>
      </c>
      <c r="I229" s="34">
        <v>26098</v>
      </c>
      <c r="J229" s="32"/>
      <c r="K229" s="32"/>
    </row>
    <row r="230" spans="6:11" x14ac:dyDescent="0.25">
      <c r="F230" s="32">
        <v>5</v>
      </c>
      <c r="G230" s="32" t="s">
        <v>102</v>
      </c>
      <c r="H230" s="32" t="s">
        <v>107</v>
      </c>
      <c r="I230" s="34">
        <v>27869</v>
      </c>
      <c r="J230" s="32"/>
      <c r="K230" s="32"/>
    </row>
    <row r="231" spans="6:11" x14ac:dyDescent="0.25">
      <c r="F231" s="32">
        <v>5</v>
      </c>
      <c r="G231" s="32" t="s">
        <v>103</v>
      </c>
      <c r="H231" s="32" t="s">
        <v>106</v>
      </c>
      <c r="I231" s="34">
        <v>37887</v>
      </c>
      <c r="J231" s="32"/>
      <c r="K231" s="32"/>
    </row>
    <row r="232" spans="6:11" x14ac:dyDescent="0.25">
      <c r="F232" s="32">
        <v>5</v>
      </c>
      <c r="G232" s="32" t="s">
        <v>104</v>
      </c>
      <c r="H232" s="32" t="s">
        <v>106</v>
      </c>
      <c r="I232" s="34">
        <v>16847</v>
      </c>
      <c r="J232" s="32"/>
      <c r="K232" s="32"/>
    </row>
    <row r="233" spans="6:11" x14ac:dyDescent="0.25">
      <c r="F233" s="32">
        <v>5</v>
      </c>
      <c r="G233" s="32" t="s">
        <v>105</v>
      </c>
      <c r="H233" s="32" t="s">
        <v>106</v>
      </c>
      <c r="I233" s="34">
        <v>13068</v>
      </c>
      <c r="J233" s="32"/>
      <c r="K233" s="32"/>
    </row>
    <row r="234" spans="6:11" x14ac:dyDescent="0.25">
      <c r="F234" s="32">
        <v>4</v>
      </c>
      <c r="G234" s="32" t="s">
        <v>94</v>
      </c>
      <c r="H234" s="32" t="s">
        <v>109</v>
      </c>
      <c r="I234" s="34">
        <v>22571</v>
      </c>
      <c r="J234" s="32"/>
      <c r="K234" s="32"/>
    </row>
    <row r="235" spans="6:11" x14ac:dyDescent="0.25">
      <c r="F235" s="32">
        <v>4</v>
      </c>
      <c r="G235" s="32" t="s">
        <v>95</v>
      </c>
      <c r="H235" s="32" t="s">
        <v>109</v>
      </c>
      <c r="I235" s="34">
        <v>10985</v>
      </c>
      <c r="J235" s="32"/>
      <c r="K235" s="32"/>
    </row>
    <row r="236" spans="6:11" x14ac:dyDescent="0.25">
      <c r="F236" s="32">
        <v>4</v>
      </c>
      <c r="G236" s="32" t="s">
        <v>96</v>
      </c>
      <c r="H236" s="32" t="s">
        <v>109</v>
      </c>
      <c r="I236" s="34">
        <v>17804</v>
      </c>
      <c r="J236" s="32"/>
      <c r="K236" s="32"/>
    </row>
    <row r="237" spans="6:11" x14ac:dyDescent="0.25">
      <c r="F237" s="32">
        <v>4</v>
      </c>
      <c r="G237" s="32" t="s">
        <v>97</v>
      </c>
      <c r="H237" s="32" t="s">
        <v>108</v>
      </c>
      <c r="I237" s="34">
        <v>21923</v>
      </c>
      <c r="J237" s="32"/>
      <c r="K237" s="32"/>
    </row>
    <row r="238" spans="6:11" x14ac:dyDescent="0.25">
      <c r="F238" s="32">
        <v>4</v>
      </c>
      <c r="G238" s="32" t="s">
        <v>98</v>
      </c>
      <c r="H238" s="32" t="s">
        <v>108</v>
      </c>
      <c r="I238" s="34">
        <v>27900</v>
      </c>
      <c r="J238" s="32"/>
      <c r="K238" s="32"/>
    </row>
    <row r="239" spans="6:11" x14ac:dyDescent="0.25">
      <c r="F239" s="32">
        <v>4</v>
      </c>
      <c r="G239" s="32" t="s">
        <v>99</v>
      </c>
      <c r="H239" s="32" t="s">
        <v>108</v>
      </c>
      <c r="I239" s="34">
        <v>21559</v>
      </c>
      <c r="J239" s="32"/>
      <c r="K239" s="32"/>
    </row>
    <row r="240" spans="6:11" x14ac:dyDescent="0.25">
      <c r="F240" s="32">
        <v>4</v>
      </c>
      <c r="G240" s="32" t="s">
        <v>100</v>
      </c>
      <c r="H240" s="32" t="s">
        <v>107</v>
      </c>
      <c r="I240" s="34">
        <v>14480</v>
      </c>
      <c r="J240" s="32"/>
      <c r="K240" s="32"/>
    </row>
    <row r="241" spans="6:11" x14ac:dyDescent="0.25">
      <c r="F241" s="32">
        <v>4</v>
      </c>
      <c r="G241" s="32" t="s">
        <v>101</v>
      </c>
      <c r="H241" s="32" t="s">
        <v>107</v>
      </c>
      <c r="I241" s="34">
        <v>10525</v>
      </c>
      <c r="J241" s="32"/>
      <c r="K241" s="32"/>
    </row>
    <row r="242" spans="6:11" x14ac:dyDescent="0.25">
      <c r="F242" s="32">
        <v>4</v>
      </c>
      <c r="G242" s="32" t="s">
        <v>102</v>
      </c>
      <c r="H242" s="32" t="s">
        <v>107</v>
      </c>
      <c r="I242" s="34">
        <v>22422</v>
      </c>
      <c r="J242" s="32"/>
      <c r="K242" s="32"/>
    </row>
    <row r="243" spans="6:11" x14ac:dyDescent="0.25">
      <c r="F243" s="32">
        <v>4</v>
      </c>
      <c r="G243" s="32" t="s">
        <v>103</v>
      </c>
      <c r="H243" s="32" t="s">
        <v>106</v>
      </c>
      <c r="I243" s="34">
        <v>16719</v>
      </c>
      <c r="J243" s="32"/>
      <c r="K243" s="32"/>
    </row>
    <row r="244" spans="6:11" x14ac:dyDescent="0.25">
      <c r="F244" s="32">
        <v>4</v>
      </c>
      <c r="G244" s="32" t="s">
        <v>104</v>
      </c>
      <c r="H244" s="32" t="s">
        <v>106</v>
      </c>
      <c r="I244" s="34">
        <v>12168</v>
      </c>
      <c r="J244" s="32"/>
      <c r="K244" s="32"/>
    </row>
    <row r="245" spans="6:11" x14ac:dyDescent="0.25">
      <c r="F245" s="32">
        <v>4</v>
      </c>
      <c r="G245" s="32" t="s">
        <v>105</v>
      </c>
      <c r="H245" s="32" t="s">
        <v>106</v>
      </c>
      <c r="I245" s="34">
        <v>10502</v>
      </c>
      <c r="J245" s="32"/>
      <c r="K245" s="32"/>
    </row>
    <row r="246" spans="6:11" x14ac:dyDescent="0.25">
      <c r="F246" s="32"/>
      <c r="G246" s="32"/>
      <c r="H246" s="32"/>
      <c r="I246" s="32"/>
      <c r="J246" s="32"/>
      <c r="K246" s="32"/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A5A897-9CA2-46E0-BA38-054BE43F3C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Comparativa mes año anterior</vt:lpstr>
      <vt:lpstr>Análisis tendencia</vt:lpstr>
      <vt:lpstr>Promedios</vt:lpstr>
      <vt:lpstr>Media móvil total</vt:lpstr>
      <vt:lpstr>PIB</vt:lpstr>
      <vt:lpstr>HP</vt:lpstr>
      <vt:lpstr>Tabla1</vt:lpstr>
      <vt:lpstr>Operaciones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</dc:creator>
  <cp:keywords/>
  <dc:description/>
  <cp:lastModifiedBy>Andreu Marti</cp:lastModifiedBy>
  <cp:revision/>
  <dcterms:created xsi:type="dcterms:W3CDTF">2026-09-30T09:43:05Z</dcterms:created>
  <dcterms:modified xsi:type="dcterms:W3CDTF">2026-10-01T16:03:30Z</dcterms:modified>
  <cp:category/>
  <cp:contentStatus/>
</cp:coreProperties>
</file>